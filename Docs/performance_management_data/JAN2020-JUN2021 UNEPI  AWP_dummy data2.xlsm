
<file path=[Content_Types].xml><?xml version="1.0" encoding="utf-8"?>
<Types xmlns="http://schemas.openxmlformats.org/package/2006/content-types">
  <Override PartName="/xl/_rels/workbook.xml.rels" ContentType="application/vnd.openxmlformats-package.relationships+xml"/>
  <Override PartName="/xl/comments9.xml" ContentType="application/vnd.openxmlformats-officedocument.spreadsheetml.comments+xml"/>
  <Override PartName="/xl/media/image2.png" ContentType="image/png"/>
  <Override PartName="/xl/media/image1.png" ContentType="image/png"/>
  <Override PartName="/xl/charts/chart6.xml" ContentType="application/vnd.openxmlformats-officedocument.drawingml.chart+xml"/>
  <Override PartName="/xl/charts/chart5.xml" ContentType="application/vnd.openxmlformats-officedocument.drawingml.chart+xml"/>
  <Override PartName="/xl/charts/chart4.xml" ContentType="application/vnd.openxmlformats-officedocument.drawingml.chart+xml"/>
  <Override PartName="/xl/charts/chart3.xml" ContentType="application/vnd.openxmlformats-officedocument.drawingml.chart+xml"/>
  <Override PartName="/xl/charts/chart1.xml" ContentType="application/vnd.openxmlformats-officedocument.drawingml.chart+xml"/>
  <Override PartName="/xl/charts/chart2.xml" ContentType="application/vnd.openxmlformats-officedocument.drawingml.chart+xml"/>
  <Override PartName="/xl/vbaProject.bin" ContentType="application/vnd.ms-office.vbaProject"/>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_rels/sheet11.xml.rels" ContentType="application/vnd.openxmlformats-package.relationships+xml"/>
  <Override PartName="/xl/worksheets/_rels/sheet6.xml.rels" ContentType="application/vnd.openxmlformats-package.relationships+xml"/>
  <Override PartName="/xl/worksheets/_rels/sheet2.xml.rels" ContentType="application/vnd.openxmlformats-package.relationships+xml"/>
  <Override PartName="/xl/worksheets/_rels/sheet10.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9.xml.rels" ContentType="application/vnd.openxmlformats-package.relationships+xml"/>
  <Override PartName="/xl/worksheets/sheet7.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_rels/drawing7.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drawings/_rels/drawing1.xml.rels" ContentType="application/vnd.openxmlformats-package.relationships+xml"/>
  <Override PartName="/xl/drawings/_rels/drawing4.xml.rels" ContentType="application/vnd.openxmlformats-package.relationships+xml"/>
  <Override PartName="/xl/drawings/_rels/drawing5.xml.rels" ContentType="application/vnd.openxmlformats-package.relationships+xml"/>
  <Override PartName="/xl/drawings/_rels/drawing6.xml.rels" ContentType="application/vnd.openxmlformats-package.relationships+xml"/>
  <Override PartName="/xl/drawings/drawing7.xml" ContentType="application/vnd.openxmlformats-officedocument.drawing+xml"/>
  <Override PartName="/xl/drawings/drawing6.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drawings/drawing3.xml" ContentType="application/vnd.openxmlformats-officedocument.drawing+xml"/>
  <Override PartName="/xl/drawings/vmlDrawing1.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false" xWindow="0" yWindow="0" windowWidth="16384" windowHeight="8192" tabRatio="600" firstSheet="7" activeTab="8"/>
  </bookViews>
  <sheets>
    <sheet name="ISC_funding" sheetId="1" state="hidden" r:id="rId3"/>
    <sheet name="F_source" sheetId="2" state="hidden" r:id="rId4"/>
    <sheet name="ISC_funds" sheetId="3" state="hidden" r:id="rId5"/>
    <sheet name="DP_funds" sheetId="4" state="hidden" r:id="rId6"/>
    <sheet name="Act_per Q" sheetId="5" state="hidden" r:id="rId7"/>
    <sheet name="qtr_budget all" sheetId="6" state="hidden" r:id="rId8"/>
    <sheet name="funds_national v district" sheetId="7" state="hidden" r:id="rId9"/>
    <sheet name="Menu" sheetId="8" state="visible" r:id="rId10"/>
    <sheet name="Jan20-Jun21" sheetId="9" state="visible" r:id="rId11"/>
    <sheet name="Budget_dashboard" sheetId="10" state="visible" r:id="rId12"/>
    <sheet name="activity completion status" sheetId="11" state="visible" r:id="rId13"/>
  </sheets>
  <definedNames>
    <definedName function="false" hidden="true" localSheetId="8" name="_xlnm._FilterDatabase" vbProcedure="false">'Jan20-Jun21'!$A$2:$BG$89</definedName>
    <definedName function="false" hidden="false" name="Slicer_Funded__Unfunded" vbProcedure="false">#N/A</definedName>
    <definedName function="false" hidden="false" name="Slicer_Immunisation_System_Component__ISC__Area" vbProcedure="false">#N/A</definedName>
    <definedName function="false" hidden="false" name="Slicer_Responsible_Organisation_for_Funding_the_Activity" vbProcedure="false">#N/A</definedName>
    <definedName function="false" hidden="false" name="WP_sheet" vbProcedure="false">OFFSET('Jan20-Jun21'!$A$2,0,0,COUNTA('Jan20-Jun21'!$A$2:$A$475),58)</definedName>
  </definedNames>
  <calcPr iterateCount="100" refMode="A1" iterate="false" iterateDelta="0.0001"/>
  <extLst>
    <ext xmlns:loext="http://schemas.libreoffice.org/" uri="{7626C862-2A13-11E5-B345-FEFF819CDC9F}">
      <loext:extCalcPr stringRefSyntax="ExcelA1"/>
    </ext>
  </extLst>
</workbook>
</file>

<file path=xl/comments9.xml><?xml version="1.0" encoding="utf-8"?>
<comments xmlns="http://schemas.openxmlformats.org/spreadsheetml/2006/main" xmlns:xdr="http://schemas.openxmlformats.org/drawingml/2006/spreadsheetDrawing">
  <authors>
    <author> </author>
  </authors>
  <commentList>
    <comment ref="A8" authorId="0">
      <text>
        <r>
          <rPr>
            <b val="true"/>
            <sz val="9"/>
            <color rgb="FF000000"/>
            <rFont val="Tahoma"/>
            <family val="2"/>
            <charset val="1"/>
          </rPr>
          <t xml:space="preserve">Fredrick Luwaga:
</t>
        </r>
        <r>
          <rPr>
            <sz val="9"/>
            <color rgb="FF000000"/>
            <rFont val="Tahoma"/>
            <family val="2"/>
            <charset val="1"/>
          </rPr>
          <t xml:space="preserve">JSI to confirm availability of funds</t>
        </r>
      </text>
    </comment>
    <comment ref="A60" authorId="0">
      <text>
        <r>
          <rPr>
            <b val="true"/>
            <sz val="9"/>
            <color rgb="FF000000"/>
            <rFont val="Tahoma"/>
            <family val="2"/>
            <charset val="1"/>
          </rPr>
          <t xml:space="preserve">Fredrick Luwaga:
</t>
        </r>
        <r>
          <rPr>
            <sz val="9"/>
            <color rgb="FF000000"/>
            <rFont val="Tahoma"/>
            <family val="2"/>
            <charset val="1"/>
          </rPr>
          <t xml:space="preserve">Budget was adjusted - check with Mabirizi</t>
        </r>
      </text>
    </comment>
    <comment ref="A62" authorId="0">
      <text>
        <r>
          <rPr>
            <b val="true"/>
            <sz val="9"/>
            <color rgb="FF000000"/>
            <rFont val="Tahoma"/>
            <family val="2"/>
            <charset val="1"/>
          </rPr>
          <t xml:space="preserve">Fredrick Luwaga:
</t>
        </r>
        <r>
          <rPr>
            <sz val="9"/>
            <color rgb="FF000000"/>
            <rFont val="Tahoma"/>
            <family val="2"/>
            <charset val="1"/>
          </rPr>
          <t xml:space="preserve">Budget was adjusted - check with Mabirizi</t>
        </r>
      </text>
    </comment>
    <comment ref="A65" authorId="0">
      <text>
        <r>
          <rPr>
            <b val="true"/>
            <sz val="9"/>
            <color rgb="FF000000"/>
            <rFont val="Tahoma"/>
            <family val="2"/>
            <charset val="1"/>
          </rPr>
          <t xml:space="preserve">Fredrick Luwaga:
</t>
        </r>
        <r>
          <rPr>
            <sz val="9"/>
            <color rgb="FF000000"/>
            <rFont val="Tahoma"/>
            <family val="2"/>
            <charset val="1"/>
          </rPr>
          <t xml:space="preserve">JSI to confirm availability of funds</t>
        </r>
      </text>
    </comment>
  </commentList>
</comments>
</file>

<file path=xl/sharedStrings.xml><?xml version="1.0" encoding="utf-8"?>
<sst xmlns="http://schemas.openxmlformats.org/spreadsheetml/2006/main" count="2083" uniqueCount="528">
  <si>
    <t xml:space="preserve">Count of Immunisation System Component (ISC) Area</t>
  </si>
  <si>
    <t xml:space="preserve">Column Labels</t>
  </si>
  <si>
    <t xml:space="preserve">Count of Funded /Unfunded</t>
  </si>
  <si>
    <t xml:space="preserve">Row Labels</t>
  </si>
  <si>
    <t xml:space="preserve">Funded</t>
  </si>
  <si>
    <t xml:space="preserve">Unfunded</t>
  </si>
  <si>
    <t xml:space="preserve">Totak</t>
  </si>
  <si>
    <t xml:space="preserve">Funding source</t>
  </si>
  <si>
    <t xml:space="preserve">Total</t>
  </si>
  <si>
    <t xml:space="preserve">Advocacy, Communication &amp; Social Mobilization</t>
  </si>
  <si>
    <t xml:space="preserve">AFENET</t>
  </si>
  <si>
    <t xml:space="preserve">Monitoring, Supervision &amp; Evaluation</t>
  </si>
  <si>
    <t xml:space="preserve">CDC</t>
  </si>
  <si>
    <t xml:space="preserve">Programe Management - General</t>
  </si>
  <si>
    <t xml:space="preserve">CHAI</t>
  </si>
  <si>
    <t xml:space="preserve">Programme Management - Financing</t>
  </si>
  <si>
    <t xml:space="preserve">GoU</t>
  </si>
  <si>
    <t xml:space="preserve">Service Delivery &amp; Training</t>
  </si>
  <si>
    <t xml:space="preserve">HSS2/GAVI</t>
  </si>
  <si>
    <t xml:space="preserve">Surveillance</t>
  </si>
  <si>
    <t xml:space="preserve">JSI</t>
  </si>
  <si>
    <t xml:space="preserve">Vaccines, Logistics, Equipment &amp; Infrastructure</t>
  </si>
  <si>
    <t xml:space="preserve">PATH</t>
  </si>
  <si>
    <t xml:space="preserve">UNICEF</t>
  </si>
  <si>
    <t xml:space="preserve">WHO</t>
  </si>
  <si>
    <t xml:space="preserve">PBF/Gavi</t>
  </si>
  <si>
    <t xml:space="preserve">WHO (PEF 2019)</t>
  </si>
  <si>
    <t xml:space="preserve">UNEPI</t>
  </si>
  <si>
    <t xml:space="preserve">Grand Total</t>
  </si>
  <si>
    <t xml:space="preserve">Sum of USD Activity Cost</t>
  </si>
  <si>
    <t xml:space="preserve">Values</t>
  </si>
  <si>
    <t xml:space="preserve">Sum of Scheduled 2020Q1</t>
  </si>
  <si>
    <t xml:space="preserve">Sum of Scheduled 2020Q2</t>
  </si>
  <si>
    <t xml:space="preserve">Sum of Scheduled 2020Q3</t>
  </si>
  <si>
    <t xml:space="preserve">Sum of Scheduled 2020Q4</t>
  </si>
  <si>
    <t xml:space="preserve">Sum of Scheduled 2021Q1</t>
  </si>
  <si>
    <t xml:space="preserve">Sum of Scheduled 2021Q2</t>
  </si>
  <si>
    <t xml:space="preserve">Budget per Qtr</t>
  </si>
  <si>
    <t xml:space="preserve">'Budget 2020Q1</t>
  </si>
  <si>
    <t xml:space="preserve">'Budget 2020Q2</t>
  </si>
  <si>
    <t xml:space="preserve">'Budget 2020Q3</t>
  </si>
  <si>
    <t xml:space="preserve">'Budget 2020Q4</t>
  </si>
  <si>
    <t xml:space="preserve">'Budget 2021Q1</t>
  </si>
  <si>
    <t xml:space="preserve">'Budget 2021Q2</t>
  </si>
  <si>
    <t xml:space="preserve">Total activity costs</t>
  </si>
  <si>
    <t xml:space="preserve">District</t>
  </si>
  <si>
    <t xml:space="preserve">National</t>
  </si>
  <si>
    <t xml:space="preserve">UNEPI JANUARY 2020 - JUNE 2021 WORK PLAN</t>
  </si>
  <si>
    <t xml:space="preserve">No.</t>
  </si>
  <si>
    <t xml:space="preserve">Immunisation System Component (ISC) Area</t>
  </si>
  <si>
    <t xml:space="preserve">Objectives</t>
  </si>
  <si>
    <t xml:space="preserve">Activity</t>
  </si>
  <si>
    <t xml:space="preserve">Level</t>
  </si>
  <si>
    <t xml:space="preserve">Funded /Unfunded</t>
  </si>
  <si>
    <t xml:space="preserve">Funding Status (Secured, Unsecured)</t>
  </si>
  <si>
    <t xml:space="preserve">Means of Verification</t>
  </si>
  <si>
    <t xml:space="preserve">Funding Priority level (
1=High, 2=Medium &amp; 3=Low)</t>
  </si>
  <si>
    <t xml:space="preserve">Responsible Organisation for Funding the Activity</t>
  </si>
  <si>
    <t xml:space="preserve">Source of funding</t>
  </si>
  <si>
    <t xml:space="preserve">Activity Cost UGX</t>
  </si>
  <si>
    <t xml:space="preserve">USD Activity Cost</t>
  </si>
  <si>
    <t xml:space="preserve">Budget assumptions</t>
  </si>
  <si>
    <t xml:space="preserve">Time Frame</t>
  </si>
  <si>
    <t xml:space="preserve">Responsible UNEPI Focal Person</t>
  </si>
  <si>
    <t xml:space="preserve">Stakeholder Focal Point</t>
  </si>
  <si>
    <t xml:space="preserve">Jan 20</t>
  </si>
  <si>
    <t xml:space="preserve">Feb 20</t>
  </si>
  <si>
    <t xml:space="preserve">Mar 20</t>
  </si>
  <si>
    <t xml:space="preserve">Apr 20</t>
  </si>
  <si>
    <t xml:space="preserve">May 20</t>
  </si>
  <si>
    <t xml:space="preserve">Jun 20</t>
  </si>
  <si>
    <t xml:space="preserve">Jul 20</t>
  </si>
  <si>
    <t xml:space="preserve">Aug 20</t>
  </si>
  <si>
    <t xml:space="preserve">Sep 20</t>
  </si>
  <si>
    <t xml:space="preserve">Oct 20</t>
  </si>
  <si>
    <t xml:space="preserve">Nov 20</t>
  </si>
  <si>
    <t xml:space="preserve">Dec 20</t>
  </si>
  <si>
    <t xml:space="preserve">Jan 21</t>
  </si>
  <si>
    <t xml:space="preserve">Feb 21</t>
  </si>
  <si>
    <t xml:space="preserve">Mar 21</t>
  </si>
  <si>
    <t xml:space="preserve">Apr 21</t>
  </si>
  <si>
    <t xml:space="preserve">May 21</t>
  </si>
  <si>
    <t xml:space="preserve">Jun 21</t>
  </si>
  <si>
    <t xml:space="preserve">Scheduled 2020Q1</t>
  </si>
  <si>
    <t xml:space="preserve">Scheduled 2020Q2</t>
  </si>
  <si>
    <t xml:space="preserve">Scheduled 2020Q3</t>
  </si>
  <si>
    <t xml:space="preserve">Scheduled 2020Q4</t>
  </si>
  <si>
    <t xml:space="preserve">Scheduled 2021Q1</t>
  </si>
  <si>
    <t xml:space="preserve">Scheduled 2021Q2</t>
  </si>
  <si>
    <t xml:space="preserve">Budget 2020Q1</t>
  </si>
  <si>
    <t xml:space="preserve">Budget 2020Q2</t>
  </si>
  <si>
    <t xml:space="preserve">Budget 2020Q3</t>
  </si>
  <si>
    <t xml:space="preserve">Budget 2020Q4</t>
  </si>
  <si>
    <t xml:space="preserve">Budget 2021Q1</t>
  </si>
  <si>
    <t xml:space="preserve">Budget 2021Q2</t>
  </si>
  <si>
    <t xml:space="preserve">2020Q1 Status</t>
  </si>
  <si>
    <t xml:space="preserve">Comments and Justification for status1</t>
  </si>
  <si>
    <t xml:space="preserve">2020Q2 Status</t>
  </si>
  <si>
    <t xml:space="preserve">Comments and Justification for status2</t>
  </si>
  <si>
    <t xml:space="preserve">2020Q3 Status</t>
  </si>
  <si>
    <t xml:space="preserve">Comments and Justification for status3</t>
  </si>
  <si>
    <t xml:space="preserve">2020Q4 Status</t>
  </si>
  <si>
    <t xml:space="preserve">Comments and Justification for status4</t>
  </si>
  <si>
    <t xml:space="preserve">2021Q1 Status</t>
  </si>
  <si>
    <t xml:space="preserve">Comments and Justification for status5</t>
  </si>
  <si>
    <t xml:space="preserve">2021Q2 Status</t>
  </si>
  <si>
    <t xml:space="preserve">Comments and Justification for status6</t>
  </si>
  <si>
    <t xml:space="preserve">Build EPI management and Technical capacity at all levels</t>
  </si>
  <si>
    <t xml:space="preserve">Conduct operational level trainings in 18 new districts </t>
  </si>
  <si>
    <t xml:space="preserve">Secured</t>
  </si>
  <si>
    <t xml:space="preserve">Training report</t>
  </si>
  <si>
    <t xml:space="preserve">High</t>
  </si>
  <si>
    <t xml:space="preserve">Aug and sept 2020, Nov and Dec 2020, Feb and Mar 2021, May 2021</t>
  </si>
  <si>
    <t xml:space="preserve">Beatrice</t>
  </si>
  <si>
    <t xml:space="preserve">Ongoing</t>
  </si>
  <si>
    <t xml:space="preserve">test comments1</t>
  </si>
  <si>
    <t xml:space="preserve">Not Done</t>
  </si>
  <si>
    <t xml:space="preserve">Complete</t>
  </si>
  <si>
    <t xml:space="preserve">Lorem 777</t>
  </si>
  <si>
    <t xml:space="preserve">test</t>
  </si>
  <si>
    <t xml:space="preserve">MOH Top Management to conduct oversight visit to problematic regions </t>
  </si>
  <si>
    <t xml:space="preserve">Supervision report</t>
  </si>
  <si>
    <t xml:space="preserve">BMGF</t>
  </si>
  <si>
    <t xml:space="preserve">Mar 2021</t>
  </si>
  <si>
    <t xml:space="preserve">Emily</t>
  </si>
  <si>
    <t xml:space="preserve">test comments2</t>
  </si>
  <si>
    <t xml:space="preserve">Lorem 778</t>
  </si>
  <si>
    <t xml:space="preserve">To increase access and demand for immunization services</t>
  </si>
  <si>
    <t xml:space="preserve">Strengthening the Role of Religious Leaders in Promoting Immunisation</t>
  </si>
  <si>
    <t xml:space="preserve">Partner reports (IRCU) and District action plans</t>
  </si>
  <si>
    <t xml:space="preserve">GAVI</t>
  </si>
  <si>
    <t xml:space="preserve">Timely disbursement of funds</t>
  </si>
  <si>
    <t xml:space="preserve">Jan - June 2020</t>
  </si>
  <si>
    <t xml:space="preserve">Tabley Bakyaita (HPE &amp;SC)</t>
  </si>
  <si>
    <t xml:space="preserve">IRCU</t>
  </si>
  <si>
    <t xml:space="preserve">test comments3</t>
  </si>
  <si>
    <t xml:space="preserve">Lorem 779</t>
  </si>
  <si>
    <t xml:space="preserve">Popularisation of the Immunization Act through: 1. District Political &amp; Technical Leaderhip 2. Law enforcement 3. Media at all levels 4. Communities</t>
  </si>
  <si>
    <t xml:space="preserve">Reports</t>
  </si>
  <si>
    <t xml:space="preserve">Timely disbursement of funds. Additional PATH budget for this activity is USD 22,318</t>
  </si>
  <si>
    <t xml:space="preserve">test comments4</t>
  </si>
  <si>
    <t xml:space="preserve">Lorem 780</t>
  </si>
  <si>
    <t xml:space="preserve">Supplement identified immunisation initiatives for Buganda, Busoga, Tooro, Bunyoro and Acholi Kingdoms</t>
  </si>
  <si>
    <t xml:space="preserve">Meeting reports</t>
  </si>
  <si>
    <t xml:space="preserve">Mar-Jun 2020</t>
  </si>
  <si>
    <t xml:space="preserve">test comments5</t>
  </si>
  <si>
    <t xml:space="preserve">Lorem 781</t>
  </si>
  <si>
    <t xml:space="preserve">Conduct advocacy meetings with regional Implementing Partners in the health sector whose core focus is not immunization to integrate immunization into their workplans (leveraging their resources to immunization and use their platforms to reach out to targeted children)</t>
  </si>
  <si>
    <t xml:space="preserve">Unsecured</t>
  </si>
  <si>
    <t xml:space="preserve">Meeting report</t>
  </si>
  <si>
    <t xml:space="preserve">Medium</t>
  </si>
  <si>
    <t xml:space="preserve">Inland travel for staff, perdiem, fuel, staff</t>
  </si>
  <si>
    <t xml:space="preserve">Oct - Dec 2020</t>
  </si>
  <si>
    <t xml:space="preserve">Possy (JSI)</t>
  </si>
  <si>
    <t xml:space="preserve">test comments6</t>
  </si>
  <si>
    <t xml:space="preserve">Lorem 782</t>
  </si>
  <si>
    <t xml:space="preserve">Produce and disseminate Routine Immunisation audio-visual clips for key audiences to help confront misinformation and vaccine hesitancy</t>
  </si>
  <si>
    <t xml:space="preserve">Finalised audio-visual clips</t>
  </si>
  <si>
    <t xml:space="preserve">consultant professional fees, transport, hotel, perdiem, equipment hire
airing of the docummentary on 2 TV stations</t>
  </si>
  <si>
    <t xml:space="preserve">July - Dec 2021</t>
  </si>
  <si>
    <t xml:space="preserve">Jacquie (PATH)</t>
  </si>
  <si>
    <t xml:space="preserve">test comments7</t>
  </si>
  <si>
    <t xml:space="preserve">Lorem 783</t>
  </si>
  <si>
    <t xml:space="preserve">Compile a report on ADI accomplishments for presentation at the AU Summit in 2021</t>
  </si>
  <si>
    <t xml:space="preserve">Finalised ADI report</t>
  </si>
  <si>
    <t xml:space="preserve">Q3 &amp; Q4</t>
  </si>
  <si>
    <t xml:space="preserve">test comments8</t>
  </si>
  <si>
    <t xml:space="preserve">Lorem 784</t>
  </si>
  <si>
    <t xml:space="preserve">Popularise an approved framework on immunisation (e.g. GVAP Strategy) with key stakeholders at National Level</t>
  </si>
  <si>
    <t xml:space="preserve">Includes popularization of Immunization Act</t>
  </si>
  <si>
    <t xml:space="preserve">Q3</t>
  </si>
  <si>
    <t xml:space="preserve">test comments9</t>
  </si>
  <si>
    <t xml:space="preserve">Lorem 785</t>
  </si>
  <si>
    <t xml:space="preserve">Strengthen the advocacy capacity of EPI sub-commitee members for them to be able to articulate advocacy issues in EPI TWGs</t>
  </si>
  <si>
    <t xml:space="preserve">Includes facilitating monthly Advocacy and Finance sub committee meetings</t>
  </si>
  <si>
    <t xml:space="preserve">Q2</t>
  </si>
  <si>
    <t xml:space="preserve">test comments10</t>
  </si>
  <si>
    <t xml:space="preserve">Lorem 786</t>
  </si>
  <si>
    <t xml:space="preserve">Develop scorecard to measure progress on implementation of ADI activities</t>
  </si>
  <si>
    <t xml:space="preserve">Finalised scorecard</t>
  </si>
  <si>
    <t xml:space="preserve">Q1 &amp; Q2</t>
  </si>
  <si>
    <t xml:space="preserve">test comments11</t>
  </si>
  <si>
    <t xml:space="preserve">Lorem 787</t>
  </si>
  <si>
    <t xml:space="preserve">Hold a national level advocacy dialogue with Parliamentarians and other policy makers on sustainable financial mechanisms for Immunisation</t>
  </si>
  <si>
    <t xml:space="preserve">Q1 &amp; Q3</t>
  </si>
  <si>
    <t xml:space="preserve">test comments12</t>
  </si>
  <si>
    <t xml:space="preserve">Lorem 788</t>
  </si>
  <si>
    <t xml:space="preserve">Strengthen the advocacy, communication and social mobilization to maximise 'reach' of target population in urban settings through:
1) Development and finalisation of Urban Health communication guideline and implementation plan
2) Implement the urban immunisation communication plan through: Targeted information dissemination, dialogues/meetings with urban elites, informal settlements, refugees, schools, working caretakers
3) Scale up demand generation through registration of VHTs, Registration of children in municipalities, mobilisation &amp; awareness at community level, address vaccine hesitancy and immunisation refusals</t>
  </si>
  <si>
    <t xml:space="preserve">Finalised Urban Health Communication Guideline &amp; Implementation Plan; reports of meetings held; completed Child Registers</t>
  </si>
  <si>
    <t xml:space="preserve">3 activities focussing on
i. Development of Urban Health communication guideline 
ii) Implementation of urban immunisation communication plan 
iii) Registration of VHTs, Registration of children in municipalities, s</t>
  </si>
  <si>
    <t xml:space="preserve">Jan to Dec 2020</t>
  </si>
  <si>
    <t xml:space="preserve">Eva (UNICEF)</t>
  </si>
  <si>
    <t xml:space="preserve">test comments13</t>
  </si>
  <si>
    <t xml:space="preserve">Lorem 789</t>
  </si>
  <si>
    <t xml:space="preserve">Support Advocacy, Social Mobilisation and Communication through engagement of decision makers at national, district and community level to improve immunisation coverage:
1) Engagement and Linking of 14 regional champions and decision makers to support immunisation (Professional associations will be engaged (UPA, UMA, AUWD) 
2) Support the professional association develop and implement a Social media plan to support RI and HPV specifically, human interest stories (national and district level) (Professional associations will be engaged - UPA, UMA, AUWD, Nurses &amp; Midwives Association) 
3)Provide technical support to the 14 regional Community Health Departments in advocacy, social mobilisation and communication 
4) Improving mobilisation, awareness and demand for immunisation through Airing of comprehensive  media messages and radio talk show appearances 2 quarters for routine and HPV immunisation covering including April and October ICHD.</t>
  </si>
  <si>
    <t xml:space="preserve">Partner reports (UPA); media reports</t>
  </si>
  <si>
    <t xml:space="preserve">SSFA to professional body </t>
  </si>
  <si>
    <t xml:space="preserve">April - Sept 2020</t>
  </si>
  <si>
    <t xml:space="preserve">Patrick (UNICEF)</t>
  </si>
  <si>
    <t xml:space="preserve">test comments14</t>
  </si>
  <si>
    <t xml:space="preserve">Lorem 790</t>
  </si>
  <si>
    <t xml:space="preserve">Support Communication and Social Mobilisation sub-committee monthly meetings</t>
  </si>
  <si>
    <t xml:space="preserve">Meeting minutes</t>
  </si>
  <si>
    <t xml:space="preserve">Cost to cover refreshments and meals during the course of the meetings. Venue for meetings will be at partners' premises/boardrooms</t>
  </si>
  <si>
    <t xml:space="preserve">Miriam (UNICEF)</t>
  </si>
  <si>
    <t xml:space="preserve">test comments15</t>
  </si>
  <si>
    <t xml:space="preserve">Lorem 791</t>
  </si>
  <si>
    <t xml:space="preserve">Review and adapt materials for next phase of Data Improvement PlN implementation, following completion of DIT end of Round 2 implementation (2016-2020)</t>
  </si>
  <si>
    <t xml:space="preserve">Review report </t>
  </si>
  <si>
    <t xml:space="preserve">high</t>
  </si>
  <si>
    <t xml:space="preserve">Cost covers refreshments and meals during the course of the meetings
Venue for meetings will be at partners' premises/ boardrooms</t>
  </si>
  <si>
    <t xml:space="preserve">Frehd</t>
  </si>
  <si>
    <t xml:space="preserve">Annet (WHO)</t>
  </si>
  <si>
    <t xml:space="preserve">test comments16</t>
  </si>
  <si>
    <t xml:space="preserve">Lorem 792</t>
  </si>
  <si>
    <t xml:space="preserve">Building capacity of Regional Community Health Department (CHD) from 14 Regions of Uganda on immunization data quality improvement using revised materials as per new DIP</t>
  </si>
  <si>
    <t xml:space="preserve">Training report and updated training inventory</t>
  </si>
  <si>
    <t xml:space="preserve">5 day training, costs include conference package, participant and facilitator perdiems/ allowances, transport costs</t>
  </si>
  <si>
    <t xml:space="preserve">July - Sept 2020</t>
  </si>
  <si>
    <t xml:space="preserve">John </t>
  </si>
  <si>
    <t xml:space="preserve">test comments17</t>
  </si>
  <si>
    <t xml:space="preserve">Lorem 793</t>
  </si>
  <si>
    <t xml:space="preserve">Building capacity of District Data Managers from 135 Districts of Uganda on immunization data quality improvement using revised materials as per new DIP</t>
  </si>
  <si>
    <t xml:space="preserve">Kevin (AFENET)</t>
  </si>
  <si>
    <t xml:space="preserve">test comments18</t>
  </si>
  <si>
    <t xml:space="preserve">Lorem 794</t>
  </si>
  <si>
    <t xml:space="preserve">Support supervision by Regional and District level for health worker Peer to Peer on-the-job mentorship at district and facility-level</t>
  </si>
  <si>
    <t xml:space="preserve">5-day peer to peer mentorship, costs for transport/ fuel, perdiem, for Peer Mentors</t>
  </si>
  <si>
    <t xml:space="preserve">Dec -2020 - June 2021</t>
  </si>
  <si>
    <t xml:space="preserve">test comments19</t>
  </si>
  <si>
    <t xml:space="preserve">Lorem 795</t>
  </si>
  <si>
    <t xml:space="preserve">To monitor disease trends and programme performance</t>
  </si>
  <si>
    <t xml:space="preserve">Conduct district based training of health workers on the new DHIS2 tools in 14 CHAI focused district</t>
  </si>
  <si>
    <t xml:space="preserve">Activity report</t>
  </si>
  <si>
    <t xml:space="preserve">March 2020</t>
  </si>
  <si>
    <t xml:space="preserve">John</t>
  </si>
  <si>
    <t xml:space="preserve">Matthew/Brian</t>
  </si>
  <si>
    <t xml:space="preserve">test comments20</t>
  </si>
  <si>
    <t xml:space="preserve">Lorem 796</t>
  </si>
  <si>
    <t xml:space="preserve">Support Data Improvement Teams (DITs) to conduct Follow –up Mentorships of Health Workers in data quality improvement (of EPI/HMIS programs) at all levels in districts</t>
  </si>
  <si>
    <t xml:space="preserve">Jan 2020-June 2021</t>
  </si>
  <si>
    <t xml:space="preserve">test comments21</t>
  </si>
  <si>
    <t xml:space="preserve">Lorem 797</t>
  </si>
  <si>
    <t xml:space="preserve">National teams to conduct focused technical supportive supervision and troubleshooting in selected districts (Emphasis is on Service delivery, Supply chain &amp; logistics and Management &amp; Finance)</t>
  </si>
  <si>
    <t xml:space="preserve">March, June Sept, Dec 2020 and March,June 2021</t>
  </si>
  <si>
    <t xml:space="preserve">Cheptoeke &amp; Nsubuga</t>
  </si>
  <si>
    <t xml:space="preserve">test comments22</t>
  </si>
  <si>
    <t xml:space="preserve">Lorem 798</t>
  </si>
  <si>
    <t xml:space="preserve">Conduct annual support supervision to pediatric Bacterial Meningitis sentinel sites (Mulago, Mbale, Mbarara, Lacor).</t>
  </si>
  <si>
    <t xml:space="preserve">Feb and Nov 2020</t>
  </si>
  <si>
    <t xml:space="preserve">Dr. Immaculate</t>
  </si>
  <si>
    <t xml:space="preserve">test comments23</t>
  </si>
  <si>
    <t xml:space="preserve">Lorem 799</t>
  </si>
  <si>
    <t xml:space="preserve">Print and distribute immunization 4,000 monitoring white boards and markers for health all facilities.</t>
  </si>
  <si>
    <t xml:space="preserve">Procurement report/ updated procurement tracking tool</t>
  </si>
  <si>
    <t xml:space="preserve">April 2020</t>
  </si>
  <si>
    <t xml:space="preserve">NMS</t>
  </si>
  <si>
    <t xml:space="preserve">test comments24</t>
  </si>
  <si>
    <t xml:space="preserve">Lorem 800</t>
  </si>
  <si>
    <t xml:space="preserve">Print and distribute updated immunisation data collection tools, tally sheets, child health cards, child registers, community HMIS tools for five years including box files to strengthen storage (Funds to be remitted to NMS)</t>
  </si>
  <si>
    <t xml:space="preserve">Nov 2020</t>
  </si>
  <si>
    <t xml:space="preserve">test comments25</t>
  </si>
  <si>
    <t xml:space="preserve">Lorem 801</t>
  </si>
  <si>
    <t xml:space="preserve">National and regional teams to conduct integrated support supervision in all districts</t>
  </si>
  <si>
    <t xml:space="preserve">Feb and Sept 2020, May 2021</t>
  </si>
  <si>
    <t xml:space="preserve">test comments here 1</t>
  </si>
  <si>
    <t xml:space="preserve">Lorem 802</t>
  </si>
  <si>
    <t xml:space="preserve">Facilitate teams at the surveilance sites to transmit data from the new vaccine sentinal sites to produce data that will monitor and evaluate new vaccine introduction ( Rota, PCV and Penta), and data analysis for timely use</t>
  </si>
  <si>
    <t xml:space="preserve">Top up allowances for the extra time put in the hospital surveillance team using a rate of USD 5 per extra 8 hours put in</t>
  </si>
  <si>
    <t xml:space="preserve">July 2020- June 2021</t>
  </si>
  <si>
    <t xml:space="preserve">Dr. Ampeire</t>
  </si>
  <si>
    <t xml:space="preserve">test comments here 2</t>
  </si>
  <si>
    <t xml:space="preserve">Lorem 803</t>
  </si>
  <si>
    <t xml:space="preserve">Conduct in service training to roll out the vaccine Pharmacovigilance at the HF level including VAEMIS with close collaboration with NDA</t>
  </si>
  <si>
    <t xml:space="preserve">Rita</t>
  </si>
  <si>
    <t xml:space="preserve">test comments here 3</t>
  </si>
  <si>
    <t xml:space="preserve">Lorem 804</t>
  </si>
  <si>
    <t xml:space="preserve">Implement DHIS2 apps to enhance data quality and use for action -immunization data analysis, Data Quality Apps &amp; Scorecards built</t>
  </si>
  <si>
    <t xml:space="preserve">Jan-Jun 2020</t>
  </si>
  <si>
    <t xml:space="preserve">John Kissa</t>
  </si>
  <si>
    <t xml:space="preserve">test comments here 4</t>
  </si>
  <si>
    <t xml:space="preserve">Lorem 805</t>
  </si>
  <si>
    <t xml:space="preserve">Procure assorted office stationery &amp; equipment</t>
  </si>
  <si>
    <t xml:space="preserve">Procurement report</t>
  </si>
  <si>
    <t xml:space="preserve">Jul 2020 -June 2021</t>
  </si>
  <si>
    <t xml:space="preserve">Dick</t>
  </si>
  <si>
    <t xml:space="preserve">test comments here 5</t>
  </si>
  <si>
    <t xml:space="preserve">Lorem 806</t>
  </si>
  <si>
    <t xml:space="preserve">Participate in 2  international meetings (World Health assembly and EPI managers meeting )</t>
  </si>
  <si>
    <t xml:space="preserve">Conference report</t>
  </si>
  <si>
    <t xml:space="preserve"> Mar and May 2021</t>
  </si>
  <si>
    <t xml:space="preserve">test comments here 6</t>
  </si>
  <si>
    <t xml:space="preserve">Lorem 807</t>
  </si>
  <si>
    <t xml:space="preserve">To formulate policy, standards and guidelines</t>
  </si>
  <si>
    <t xml:space="preserve">Conduct EPI Program review to inform development of next 5-year strategic plan
</t>
  </si>
  <si>
    <t xml:space="preserve">Prgramme Review Report</t>
  </si>
  <si>
    <t xml:space="preserve">Hire of International consult using the WHO standard rates using the daily rate of pay band for senior level equivalent to P5, airticket
local consultant will be an NOC - 5&gt; with experience developing immunization cMYP. 
WIll work in close collaboration with CHAI."1) Hire of International consult using the WHO standard rates using the daily rate of pay band for senior level equivalent to P5 for 14 days at $350 per day : 15*350 = $ 5250,
2) Local consultant will also be based on the minimum qualification with experience in similar nature of work at daily rate of $ 220 for 30 days = 220X30 =8325. 
3) Airticket plus internal travel costs of approx $1400 per person for 4 WHO staff including Consultant =$ 5600
4) Workshop for 6 days in Hotel for 40 participants at conference package 140000 x 6 DAYS x40 ppts =33,600,000/= $10000, 
5) Travel to field to collect data Includes hire of vehicles at rate of 50000 per day, for 5 days to 30 districts = 500000x5x30 =75,000,000 = $20,000. 
6) Facilitation of teams to field will involve per diem of 175000x 5 days x 30 districts=26,250,000/=$ 7100. "
</t>
  </si>
  <si>
    <t xml:space="preserve">Oct - Nov 2020</t>
  </si>
  <si>
    <t xml:space="preserve">Lorem 808</t>
  </si>
  <si>
    <t xml:space="preserve">Develop comprehensive multi-year plan 2021-2025</t>
  </si>
  <si>
    <t xml:space="preserve">cMYP 2021-2025</t>
  </si>
  <si>
    <t xml:space="preserve">Oct-Dec 2020</t>
  </si>
  <si>
    <t xml:space="preserve">Fred Nsubuga</t>
  </si>
  <si>
    <t xml:space="preserve">Lorem 809</t>
  </si>
  <si>
    <t xml:space="preserve">Provide Technical support in coordination of partners, mapping of partners by region using the 4W matrix of who is doing what, where, when and for how long and link them to the district and Health facility annual work plan for resource mobilisation and accountability</t>
  </si>
  <si>
    <t xml:space="preserve">Partner mapping framework and  regional coordination established</t>
  </si>
  <si>
    <t xml:space="preserve">Staff costs FTE one member</t>
  </si>
  <si>
    <t xml:space="preserve">Aug - Oct 2020</t>
  </si>
  <si>
    <t xml:space="preserve">Dr. Driwale</t>
  </si>
  <si>
    <t xml:space="preserve">Emmauel (WHO)</t>
  </si>
  <si>
    <t xml:space="preserve">Lorem 810</t>
  </si>
  <si>
    <t xml:space="preserve">Provide technical support to the monthly EPI sub committees of Data/Surveillance, Program management and service delivery</t>
  </si>
  <si>
    <t xml:space="preserve">These are refreshments,</t>
  </si>
  <si>
    <t xml:space="preserve">Jan  2020 -July 2021</t>
  </si>
  <si>
    <t xml:space="preserve">write comments test 123</t>
  </si>
  <si>
    <t xml:space="preserve">Lorem 811</t>
  </si>
  <si>
    <t xml:space="preserve">Enhance the regional EPI/IDSR structure for capacity building, monitoring and accountability for the investments;
1. Support MOH to conduct functional review of the staff in the regional Community Health Departments (CHDs)
2. Develop a training package, supervision tools (M&amp;E frame work, score cards and dashboard ) to be used at the regional staff 
3. Build capacity of the regional teams 
4. Support inception regional orientation meeting with stakeholders</t>
  </si>
  <si>
    <t xml:space="preserve">Implementation report</t>
  </si>
  <si>
    <t xml:space="preserve">FTE cost for staff
2) Cost for field transport to 14 regions by Consultant = $ 2000 ,
3) SDA for district staff to attend district inception/orientation at a rate of 20,000 in 14 regions (10 ppts) for 3 days= 20000X14x10X3 =84,000,000 =$2300
4) Fuel costs for districts health teams to Inception meetings at the 14 regions = average consuption of 100 Litres per district for 4 vehicles ( 138 districts) and a rate of 4200 = 100X 138X4200= 57,960,000=$16,000 
5) Tools to be used by regional CHDs, Stationary for printing tools for 3500 Hfs at rate of 10000 = 3500X10000= 35,000,000 = $ 10000
6 Orientation workshop of the stakeholders at each of the 14 regions on the new supervision approach of the 4 district participants from each district = 138x4 pptsx per diem of 175000 for 3 days = 138x4x 175000x3 =289,800,000=$78400 
7) Hotel Costs at each region pax of 120000 x ppts (138x 4) for 3 days =198,720,000 = $54,000</t>
  </si>
  <si>
    <t xml:space="preserve">write comments test 124</t>
  </si>
  <si>
    <t xml:space="preserve">Lorem 812</t>
  </si>
  <si>
    <t xml:space="preserve">Continue technical assistance to determine the cost and cost effectiveness of different approaches to DTP booster dose introduction; school-based delivery, facility-based delivery, single cohort approach, and multiple cohort approach. Includes dissemination of the findings.</t>
  </si>
  <si>
    <t xml:space="preserve">Study report</t>
  </si>
  <si>
    <t xml:space="preserve">$30 000 for CDC technical assistance to support in-country staff to coordinate &amp; implement the interventions. $25 000 for consultant to continue conducting the cost- or cost-effectiveness analysis. $5000 for stakeholder consultation about the final results which will inform decision making about the introduction of the DTP booster doses.</t>
  </si>
  <si>
    <t xml:space="preserve">June - Oct 2020</t>
  </si>
  <si>
    <t xml:space="preserve">Dr.Ampeire</t>
  </si>
  <si>
    <t xml:space="preserve">Annet (WHO)
Kirsten (CDC)</t>
  </si>
  <si>
    <t xml:space="preserve">write comments test 125</t>
  </si>
  <si>
    <t xml:space="preserve">Lorem 813</t>
  </si>
  <si>
    <t xml:space="preserve">Monitor disease trends and programme performance</t>
  </si>
  <si>
    <t xml:space="preserve">Suport development a costed UNEPI AWP for 2020 and related quarterly reviews</t>
  </si>
  <si>
    <t xml:space="preserve">Costed  work plan developed</t>
  </si>
  <si>
    <t xml:space="preserve">Jan-Feb 2020</t>
  </si>
  <si>
    <t xml:space="preserve">Frehd N</t>
  </si>
  <si>
    <t xml:space="preserve">Fred/Stella</t>
  </si>
  <si>
    <t xml:space="preserve">write comments test 126</t>
  </si>
  <si>
    <t xml:space="preserve">Lorem 814</t>
  </si>
  <si>
    <t xml:space="preserve">Assess district uptake of integrated work planning and the related tools (HMIS020) </t>
  </si>
  <si>
    <t xml:space="preserve">Assessment report</t>
  </si>
  <si>
    <t xml:space="preserve">Fred (CHAI)</t>
  </si>
  <si>
    <t xml:space="preserve">write comments test 127</t>
  </si>
  <si>
    <t xml:space="preserve">Lorem 815</t>
  </si>
  <si>
    <t xml:space="preserve">Conduct support supervision and collect accountabilities from difficult districts</t>
  </si>
  <si>
    <t xml:space="preserve">Support Supervision + accountability reports</t>
  </si>
  <si>
    <t xml:space="preserve">write comments test 128</t>
  </si>
  <si>
    <t xml:space="preserve">Lorem 816</t>
  </si>
  <si>
    <t xml:space="preserve">Conduct Internal audits for all running GAVI grants</t>
  </si>
  <si>
    <t xml:space="preserve">Internal audit report</t>
  </si>
  <si>
    <t xml:space="preserve">May, Nov 2020 and May 2021</t>
  </si>
  <si>
    <t xml:space="preserve">Grants Coordinator</t>
  </si>
  <si>
    <t xml:space="preserve">MOH-F&amp;A</t>
  </si>
  <si>
    <t xml:space="preserve">write comments test 129</t>
  </si>
  <si>
    <t xml:space="preserve">Lorem 817</t>
  </si>
  <si>
    <t xml:space="preserve">External Audit</t>
  </si>
  <si>
    <t xml:space="preserve">External audit report</t>
  </si>
  <si>
    <t xml:space="preserve">write comments test 130</t>
  </si>
  <si>
    <t xml:space="preserve">Lorem 818</t>
  </si>
  <si>
    <t xml:space="preserve">To build EPI management capacity at all levels</t>
  </si>
  <si>
    <t xml:space="preserve">MOH Top Management to conduct annual oversight visits to all the 14 health regions to provide oversight support to the region and their respective cluster of districts</t>
  </si>
  <si>
    <t xml:space="preserve">April 2020 and April 2021</t>
  </si>
  <si>
    <t xml:space="preserve">Dr. Nsubuga/Cheptoeke</t>
  </si>
  <si>
    <t xml:space="preserve">write comments test 131</t>
  </si>
  <si>
    <t xml:space="preserve">Lorem 819</t>
  </si>
  <si>
    <t xml:space="preserve">Build EPI management capacity at all levels</t>
  </si>
  <si>
    <t xml:space="preserve">Hold a two-day Annual UNEPI stakeholders' meeting</t>
  </si>
  <si>
    <t xml:space="preserve">write comments test 132</t>
  </si>
  <si>
    <t xml:space="preserve">Lorem 820</t>
  </si>
  <si>
    <t xml:space="preserve">Staff salaries: Coordinator; M&amp;E Specialist; Project Accountant; Procurement Specialist; cold chain technicians,)</t>
  </si>
  <si>
    <t xml:space="preserve">Updated F&amp;A Reports</t>
  </si>
  <si>
    <t xml:space="preserve">Jan 2020- June 2021</t>
  </si>
  <si>
    <t xml:space="preserve">write comments test 133</t>
  </si>
  <si>
    <t xml:space="preserve">Lorem 821</t>
  </si>
  <si>
    <t xml:space="preserve">Provide support to NITAG activities on generating evidence based recommendations to UNEPI</t>
  </si>
  <si>
    <t xml:space="preserve">Quarterly reports</t>
  </si>
  <si>
    <t xml:space="preserve">write comments test 134</t>
  </si>
  <si>
    <t xml:space="preserve">Lorem 822</t>
  </si>
  <si>
    <t xml:space="preserve">Top up allowances for UNEPI staff</t>
  </si>
  <si>
    <t xml:space="preserve">Jan 2020 -June 2021</t>
  </si>
  <si>
    <t xml:space="preserve">write comments test 135</t>
  </si>
  <si>
    <t xml:space="preserve">Lorem 823</t>
  </si>
  <si>
    <t xml:space="preserve">Provide Administrative support</t>
  </si>
  <si>
    <t xml:space="preserve">write comments test 136</t>
  </si>
  <si>
    <t xml:space="preserve">Lorem 824</t>
  </si>
  <si>
    <t xml:space="preserve">To ensure availability of potent and effective vaccines</t>
  </si>
  <si>
    <t xml:space="preserve">Pay  UNICEF Programme Support Costs (PSC)</t>
  </si>
  <si>
    <t xml:space="preserve">Jimmy</t>
  </si>
  <si>
    <t xml:space="preserve">write comments test 137</t>
  </si>
  <si>
    <t xml:space="preserve">Lorem 825</t>
  </si>
  <si>
    <t xml:space="preserve">Electronic Document Management System (UNEPI): to strengthen archiving and retrieval of programmatic and financial documents.</t>
  </si>
  <si>
    <t xml:space="preserve">Procurement Report</t>
  </si>
  <si>
    <t xml:space="preserve">write comments test 138</t>
  </si>
  <si>
    <t xml:space="preserve">Lorem 826</t>
  </si>
  <si>
    <t xml:space="preserve">Support to Vaccine Financing sub-committee monthly meetings</t>
  </si>
  <si>
    <t xml:space="preserve">write comments test 139</t>
  </si>
  <si>
    <t xml:space="preserve">Lorem 827</t>
  </si>
  <si>
    <t xml:space="preserve">Conduct EPI training of DHTs in Mid-Level Management</t>
  </si>
  <si>
    <t xml:space="preserve">Training report/ update training inventory</t>
  </si>
  <si>
    <t xml:space="preserve">PBF/GAVI</t>
  </si>
  <si>
    <t xml:space="preserve">Funds will be disbursed to Mbaale Human resource Development center</t>
  </si>
  <si>
    <t xml:space="preserve">April-June 2020</t>
  </si>
  <si>
    <t xml:space="preserve">Dr.Rita Atugonza</t>
  </si>
  <si>
    <t xml:space="preserve">write comments test 140</t>
  </si>
  <si>
    <t xml:space="preserve">Lorem 828</t>
  </si>
  <si>
    <t xml:space="preserve">Carry out an Asset Verification Exercise to all Districts</t>
  </si>
  <si>
    <t xml:space="preserve">Updated assets inventory &amp; verification report</t>
  </si>
  <si>
    <t xml:space="preserve">write comments test 141</t>
  </si>
  <si>
    <t xml:space="preserve">Lorem 829</t>
  </si>
  <si>
    <t xml:space="preserve">Pay NMS Programme Support Costs (PSC)</t>
  </si>
  <si>
    <t xml:space="preserve">write comments test 142</t>
  </si>
  <si>
    <t xml:space="preserve">Lorem 830</t>
  </si>
  <si>
    <t xml:space="preserve">Develop and present an investment case for vaccines for RI and new vaccine introductions (such as Men-A and 2nd dose MR, booster Td dose) 
</t>
  </si>
  <si>
    <t xml:space="preserve">Local UN consultancy rate to support field work, workshops, consultancy work, estimated 60 working days
1) Makerere School of Public Health contracted under the current MOU to work for 50 days at 1026791 totalling to 51,339,550 ($14000)
2) Field activities for data collection using a team of 4 at a per diem 175,000 for 15 days = 10,500,000 ($2900)
3) dissemination of results
GAVI supported staff (FTE) to work with UNEPI to generate the evidence</t>
  </si>
  <si>
    <t xml:space="preserve">write comments test 143</t>
  </si>
  <si>
    <t xml:space="preserve">Lorem 831</t>
  </si>
  <si>
    <t xml:space="preserve">To increase access and demand for immunisation services</t>
  </si>
  <si>
    <t xml:space="preserve">Conduct quarterly sub county performance review meetings targeting sub county community leader to increase demand for immunisation services in 14 focus districts</t>
  </si>
  <si>
    <t xml:space="preserve">Jan 2020-Dec 2021</t>
  </si>
  <si>
    <t xml:space="preserve">Brian</t>
  </si>
  <si>
    <t xml:space="preserve">write comments test 144</t>
  </si>
  <si>
    <t xml:space="preserve">Lorem 832</t>
  </si>
  <si>
    <t xml:space="preserve">Conduct quarterly on-Job mentorship and support supervision in 28 districts:</t>
  </si>
  <si>
    <t xml:space="preserve">Apr 2020 - Mar 2021</t>
  </si>
  <si>
    <t xml:space="preserve">write comments test 145</t>
  </si>
  <si>
    <t xml:space="preserve">Lorem 833</t>
  </si>
  <si>
    <t xml:space="preserve">Support the districts to implement outreaches, to carryout supply of vaccines and logistics</t>
  </si>
  <si>
    <t xml:space="preserve">Fred Nsubuga </t>
  </si>
  <si>
    <t xml:space="preserve">write comments test 146</t>
  </si>
  <si>
    <t xml:space="preserve">Lorem 834</t>
  </si>
  <si>
    <t xml:space="preserve">Fund districts to facilitate 5 members of the DHT in 139 districts to conduct quarterly EPI technical support supervision, mentorship  of HF immunization teams on Immunization in Practice (IIP)</t>
  </si>
  <si>
    <t xml:space="preserve">Timely Quarterly releases to districts; Resources reflected in their costed annual work plans; coordination between national, regional and district activity implementation</t>
  </si>
  <si>
    <t xml:space="preserve">write comments test 147</t>
  </si>
  <si>
    <t xml:space="preserve">Lorem 835</t>
  </si>
  <si>
    <t xml:space="preserve">Hold quarterly one day district stakeholders performance review meeting on EPI targeting: (DHO, ADHO-MCH, DHEO), Chairpersons (LCV and LCIII), Subcounty Chiefs ,, RDC, DISO.</t>
  </si>
  <si>
    <t xml:space="preserve">Timely Quarterly releases to districts; Resources reflected in their costed annual work plans;</t>
  </si>
  <si>
    <t xml:space="preserve">write comments test 148</t>
  </si>
  <si>
    <t xml:space="preserve">Lorem 836</t>
  </si>
  <si>
    <t xml:space="preserve">Hold Health Sub District Quarterly Performance review meetings; Targeting Subcounty chiefs, HSD incharges, Health facility incharges, Health Assistants</t>
  </si>
  <si>
    <t xml:space="preserve">write comments test 149</t>
  </si>
  <si>
    <t xml:space="preserve">Lorem 837</t>
  </si>
  <si>
    <t xml:space="preserve">Operational Level training of Health Workers in IIP</t>
  </si>
  <si>
    <t xml:space="preserve">Develop activity budget based on concept note</t>
  </si>
  <si>
    <t xml:space="preserve">June - sept 2020</t>
  </si>
  <si>
    <t xml:space="preserve">write comments test 150</t>
  </si>
  <si>
    <t xml:space="preserve">Lorem 838</t>
  </si>
  <si>
    <t xml:space="preserve">Share good Leadership Management and Coordination/Accountability (LMC/A) and non-health staekholder engagement practices between weak and good performing DLGs to facilitate uptake of the good practices:</t>
  </si>
  <si>
    <t xml:space="preserve">LMC best practices meeting report</t>
  </si>
  <si>
    <t xml:space="preserve">i) Train regional EPI teams on good leadership, management and coordination/accountability practices through DHTs 
ii) Provide technical assistance to MOH at regional level to Mapp out consistently good performing health facilities and document the good LMA practices iii) Support peer - to - peer learning (mentorship &amp; coaching) through Twinning programs for good performers and struggling health facilities. iv) Through a consultant harmonize the different approaches to LMC/A and develop a common LMC/A tool kit for Uganda</t>
  </si>
  <si>
    <t xml:space="preserve">Jan - Mar 2021</t>
  </si>
  <si>
    <t xml:space="preserve">write comments test 151</t>
  </si>
  <si>
    <t xml:space="preserve">Lorem 839</t>
  </si>
  <si>
    <t xml:space="preserve">1. Semi-annual multi-sectoral stakeholder review meetings for Urban- Kampala and Wakiso Districts on routine immunization (RI) and majorly focusing on school health and HPV 
2. Quarterly supportive supervision for selected facilities &amp; schools in Kampala and Wakiso Districts on RI in general and major focus on school health and HPV</t>
  </si>
  <si>
    <t xml:space="preserve">Review meeting reports</t>
  </si>
  <si>
    <t xml:space="preserve">
1. Hotel, Meals, stationary, Transport refund for review meeting 
2. Vehicle, fuel, &amp; SDA for support supervision</t>
  </si>
  <si>
    <t xml:space="preserve">May-Dec 2020</t>
  </si>
  <si>
    <t xml:space="preserve">Dr Ampeire</t>
  </si>
  <si>
    <t xml:space="preserve">write comments test 152</t>
  </si>
  <si>
    <t xml:space="preserve">Lorem 840</t>
  </si>
  <si>
    <t xml:space="preserve">Provide funding to 139 districts to implement ICHDs (integrated with African Vaccination Week) in April and October</t>
  </si>
  <si>
    <t xml:space="preserve">Timely disbursement of funds by March and August every year for ICHD;  Resources reflected in their costed annual work plans with specific budget line for ICHD </t>
  </si>
  <si>
    <t xml:space="preserve">April and October</t>
  </si>
  <si>
    <t xml:space="preserve">write comments test 153</t>
  </si>
  <si>
    <t xml:space="preserve">Conduct a 1-day orientation workshop and field deployement for the 139 central level teams in support supervision for the integrated child health days’ activity for April and October + 4 for the Kampala divisions</t>
  </si>
  <si>
    <t xml:space="preserve">April</t>
  </si>
  <si>
    <t xml:space="preserve">write comments test 154</t>
  </si>
  <si>
    <t xml:space="preserve">Provide technical and financial support to 14 Regional referral hospital community health departments to conduct mentorship and supervision of the districts in the region.
i) Identifying the regional teams 
2)Building capacity in the regional teams to conduct supervision and on-job mentorship using ODK tool. 
3) Provide technical support to poorly perfoming districts in the 14 regions</t>
  </si>
  <si>
    <t xml:space="preserve">Supervision reports</t>
  </si>
  <si>
    <t xml:space="preserve">1) Identification and registration of 14 regional teams 
2) Conduct training 
</t>
  </si>
  <si>
    <t xml:space="preserve">April -Dec 2020</t>
  </si>
  <si>
    <t xml:space="preserve">Beatrice / Emily</t>
  </si>
  <si>
    <t xml:space="preserve">write comments test 155</t>
  </si>
  <si>
    <t xml:space="preserve">Support the capacity strengthening, regulation, monitoring and supervision of the private health care facilities providing immunization services in the Urban settings (Wakiso, Iganga, Kampala and Jinja).
1) Carry out capacity building and review of the private health care facilities including the data management and compliance with Uganda's immunization guideline; 
2) quarterly follow up, oversight and review
</t>
  </si>
  <si>
    <t xml:space="preserve">i. Conduct capacity building of the private health care facilities  
2) quarterly follow up, oversight and review</t>
  </si>
  <si>
    <t xml:space="preserve">Beatrice/Emily</t>
  </si>
  <si>
    <t xml:space="preserve">write comments test 156</t>
  </si>
  <si>
    <t xml:space="preserve">Monitor Disease trends and programme performance</t>
  </si>
  <si>
    <t xml:space="preserve">Procure buffer stocks for PBM sentinel sites laboratories - Targeting Mulago, Mbale, Lacor.</t>
  </si>
  <si>
    <t xml:space="preserve">Procurement report and updating of the procurement tracking tool</t>
  </si>
  <si>
    <t xml:space="preserve"> 'Aug 2020 and Aug 2021</t>
  </si>
  <si>
    <t xml:space="preserve">Follow up all laboratory confirmed vaccine preventable diseases especially polio, measles and NNT and Collect samples from disease outbreaks for molecular surveillance .</t>
  </si>
  <si>
    <t xml:space="preserve">Enhance VPD (Vaccine Preventable Diseases) sample transportation through the National Laboratory Sample Transportation System in a selected region to inform the scale up to other districts.</t>
  </si>
  <si>
    <t xml:space="preserve">Aug- Sept 2020</t>
  </si>
  <si>
    <t xml:space="preserve">Conduct CCEOP Post-installation and Site Selection Follow-on Impact Assessment:</t>
  </si>
  <si>
    <t xml:space="preserve">Matthew (CHAI)</t>
  </si>
  <si>
    <t xml:space="preserve">Followup/Refresher training of 139 District (DCCTs) and fourteen Regional Biomedical / Cold Chain Technicians in basic maintenance of the cold chain and other crucial medical equipment in order to ensure sound cold chain integrity in each district.</t>
  </si>
  <si>
    <t xml:space="preserve">Identify participants per district and regional level, training venues, allowances and transport refund</t>
  </si>
  <si>
    <t xml:space="preserve">Pamela</t>
  </si>
  <si>
    <t xml:space="preserve">Conduct central and regional planned preventive maintenance, logistics distribution and supervision (Regional)</t>
  </si>
  <si>
    <t xml:space="preserve">Training report </t>
  </si>
  <si>
    <t xml:space="preserve">April - May 2020, Oct - Nov 2020, April - May 2021</t>
  </si>
  <si>
    <t xml:space="preserve">Gavi</t>
  </si>
  <si>
    <t xml:space="preserve">Procure 6 motorcycles for each of the 10 new districts to conduct outreaches</t>
  </si>
  <si>
    <t xml:space="preserve">Equipment specification, transportation,Clearance and registration costs</t>
  </si>
  <si>
    <t xml:space="preserve">Procure 10 vehicles for 10 new district health offices that did not receive vehicles for supportive supervision and distribution of logistics to Lower Level Health units (LLHU)</t>
  </si>
  <si>
    <t xml:space="preserve">Procure 121 Solar Direct Drive (SDD) fridges and 10 electric fridges</t>
  </si>
  <si>
    <t xml:space="preserve">Equipment specification, transportation and Clearance costs</t>
  </si>
  <si>
    <t xml:space="preserve">Contribution  to cater for co-financing of the Cold-chain Equipment Optimization (CCE OPT) budget</t>
  </si>
  <si>
    <t xml:space="preserve">Procure 365 freeze free vaccine carriers. (2 for each of the 139 districts and 87 buffer stock)</t>
  </si>
  <si>
    <t xml:space="preserve">Electronic Fixed Assets Database (Ministry wide) - To strengthen recording and monitoring of fixed assets given the significant investment made by Gavi under the CCEOP and HSS Grants.</t>
  </si>
  <si>
    <t xml:space="preserve">Procure addition 121 SDDs </t>
  </si>
  <si>
    <t xml:space="preserve">1. Develop and deploy ODK-X CCE App tool for cold chain inventory and stock reporting
2. conduct a comprehensive cold chain inventory update</t>
  </si>
  <si>
    <t xml:space="preserve">Two activities depending on Gavi TCA funding
i. ODKX development testing, training and deployment by PATH
ii. Training and CCE inventory update by cold chain technicians</t>
  </si>
  <si>
    <t xml:space="preserve">Feb- May 2020 &amp; Oct-Dec 2020</t>
  </si>
  <si>
    <t xml:space="preserve">Facilitate the disposal of obsolete immunisation equipment in the 132 districts country wide</t>
  </si>
  <si>
    <t xml:space="preserve">Transportation, allowances and disposal method</t>
  </si>
  <si>
    <t xml:space="preserve">Equip and furnish a central level workshop for repair and maintenance, spare parts storage, hands-on training on cold chain maintenance</t>
  </si>
  <si>
    <t xml:space="preserve">June 2020</t>
  </si>
  <si>
    <t xml:space="preserve">Staff retreat for 2020 and procurement of furniture for Unepi.</t>
  </si>
  <si>
    <t xml:space="preserve">Meeting Report</t>
  </si>
  <si>
    <t xml:space="preserve">May 2020</t>
  </si>
  <si>
    <t xml:space="preserve">Implementation and monitoring the EVM improvement plan at all levels (national, district and health facility levels)
1) Work with NMS to support 14 regional teams to stengthen EVM indicators at district and health facility level - Temperature monitoring, timely vaccine forecasting, vaccines distribution/utilization/wastage 
2) Training and Capacity enhancement of 20 newly recruited DCCTs/DCCAs 
3) Conduct vaccine and logistics forecasting meetings (4meetings) 
4) Conduct national monthly vaccine management meetings 
5) Support urban districts (KCCA, Wakiso) to distribute vaccines and vaccine supplies 
6) Conduct Annual Vaccine &amp; Logistics review - national and 14 regional teams (40 participants)
7) Support to CCEOP/HSSII supply functions - Provide technical assistance to support procurement processes of equipment under HSSII, CCEOPII &amp; C&amp;E grants including incinerators; 
</t>
  </si>
  <si>
    <t xml:space="preserve">EVM  Implementation plan  report</t>
  </si>
  <si>
    <t xml:space="preserve">1 year activity comprising implementation of EVM improvement plan</t>
  </si>
  <si>
    <t xml:space="preserve">Eva(UNICEF)</t>
  </si>
  <si>
    <t xml:space="preserve">Work with UNEPI and NMS to develop SOPs/guidelines for Sustainable waste management of used immunisation waste and implementation of the plan. The activity implementaton will mainly cater for transport from districts to disposal sites.</t>
  </si>
  <si>
    <t xml:space="preserve">SOPs/guidelines developed</t>
  </si>
  <si>
    <t xml:space="preserve">6 months consultancy - unit cost $3700 inclusive travel;Transport cost for waste disposal in 14 regions</t>
  </si>
  <si>
    <t xml:space="preserve">July - Dec 2020</t>
  </si>
  <si>
    <t xml:space="preserve">Patrick (UNICEF)
Michael (NMS)</t>
  </si>
  <si>
    <t xml:space="preserve">testlast</t>
  </si>
  <si>
    <t xml:space="preserve">JAN2020 - JUN2021 UNEPI WP DASHBOARD</t>
  </si>
  <si>
    <t xml:space="preserve">Immunisation System Component (ISC) Area'</t>
  </si>
  <si>
    <t xml:space="preserve">Funding Status</t>
  </si>
  <si>
    <t xml:space="preserve">Immunisation System Component (ISC)</t>
  </si>
  <si>
    <t xml:space="preserve">Activt Funded</t>
  </si>
  <si>
    <t xml:space="preserve">Immunisation system component</t>
  </si>
  <si>
    <t xml:space="preserve">Allocated funds</t>
  </si>
  <si>
    <t xml:space="preserve">Budget allocation</t>
  </si>
  <si>
    <t xml:space="preserve">ACTIVITY COMPLETION STATUS</t>
  </si>
</sst>
</file>

<file path=xl/styles.xml><?xml version="1.0" encoding="utf-8"?>
<styleSheet xmlns="http://schemas.openxmlformats.org/spreadsheetml/2006/main">
  <numFmts count="12">
    <numFmt numFmtId="164" formatCode="General"/>
    <numFmt numFmtId="165" formatCode="0%"/>
    <numFmt numFmtId="166" formatCode="_(\$* #,##0_);_(\$* \(#,##0\);_(\$* \-??_);_(@_)"/>
    <numFmt numFmtId="167" formatCode="_(* #,##0_);_(* \(#,##0\);_(* \-??_);_(@_)"/>
    <numFmt numFmtId="168" formatCode="_([$$-409]* #,##0_);_([$$-409]* \(#,##0\);_([$$-409]* \-??_);_(@_)"/>
    <numFmt numFmtId="169" formatCode="@"/>
    <numFmt numFmtId="170" formatCode="_(* #,##0.00_);_(* \(#,##0.00\);_(* \-??_);_(@_)"/>
    <numFmt numFmtId="171" formatCode="_(\$* #,##0.00_);_(\$* \(#,##0.00\);_(\$* \-??_);_(@_)"/>
    <numFmt numFmtId="172" formatCode="\$#,##0_);[RED]&quot;($&quot;#,##0\)"/>
    <numFmt numFmtId="173" formatCode="MMM\-YY"/>
    <numFmt numFmtId="174" formatCode="D\-MMM"/>
    <numFmt numFmtId="175" formatCode="#,##0"/>
  </numFmts>
  <fonts count="33">
    <font>
      <sz val="11"/>
      <color rgb="FF000000"/>
      <name val="Calibri"/>
      <family val="2"/>
      <charset val="1"/>
    </font>
    <font>
      <sz val="10"/>
      <name val="Arial"/>
      <family val="0"/>
    </font>
    <font>
      <sz val="10"/>
      <name val="Arial"/>
      <family val="0"/>
    </font>
    <font>
      <sz val="10"/>
      <name val="Arial"/>
      <family val="0"/>
    </font>
    <font>
      <sz val="14"/>
      <color rgb="FF595959"/>
      <name val="Calibri"/>
      <family val="2"/>
    </font>
    <font>
      <sz val="9"/>
      <color rgb="FF595959"/>
      <name val="Calibri"/>
      <family val="2"/>
    </font>
    <font>
      <b val="true"/>
      <sz val="11"/>
      <color rgb="FF000000"/>
      <name val="Calibri"/>
      <family val="2"/>
      <charset val="1"/>
    </font>
    <font>
      <b val="true"/>
      <sz val="16"/>
      <color rgb="FF595959"/>
      <name val="Calibri"/>
      <family val="2"/>
    </font>
    <font>
      <sz val="10"/>
      <name val="Arial"/>
      <family val="2"/>
    </font>
    <font>
      <b val="true"/>
      <sz val="36"/>
      <name val="Calibri"/>
      <family val="2"/>
      <charset val="1"/>
    </font>
    <font>
      <b val="true"/>
      <sz val="20"/>
      <color rgb="FF000000"/>
      <name val="Calibri"/>
      <family val="0"/>
    </font>
    <font>
      <b val="true"/>
      <sz val="19"/>
      <color rgb="FF000000"/>
      <name val="Calibri"/>
      <family val="0"/>
    </font>
    <font>
      <b val="true"/>
      <sz val="36"/>
      <color rgb="FFFFFFFF"/>
      <name val="Calibri"/>
      <family val="2"/>
      <charset val="1"/>
    </font>
    <font>
      <b val="true"/>
      <sz val="11"/>
      <name val="Arial"/>
      <family val="2"/>
      <charset val="1"/>
    </font>
    <font>
      <sz val="11"/>
      <name val="Arial"/>
      <family val="2"/>
      <charset val="1"/>
    </font>
    <font>
      <sz val="11"/>
      <color rgb="FF000000"/>
      <name val="Arial"/>
      <family val="2"/>
      <charset val="1"/>
    </font>
    <font>
      <sz val="11"/>
      <name val="Calibri"/>
      <family val="2"/>
      <charset val="1"/>
    </font>
    <font>
      <b val="true"/>
      <sz val="9"/>
      <color rgb="FF000000"/>
      <name val="Tahoma"/>
      <family val="2"/>
      <charset val="1"/>
    </font>
    <font>
      <sz val="9"/>
      <color rgb="FF000000"/>
      <name val="Tahoma"/>
      <family val="2"/>
      <charset val="1"/>
    </font>
    <font>
      <b val="true"/>
      <sz val="24"/>
      <color rgb="FFFFFFFF"/>
      <name val="Calibri"/>
      <family val="0"/>
    </font>
    <font>
      <b val="true"/>
      <sz val="20"/>
      <color rgb="FF1F4E79"/>
      <name val="Calibri"/>
      <family val="2"/>
      <charset val="1"/>
    </font>
    <font>
      <b val="true"/>
      <u val="single"/>
      <sz val="11"/>
      <color rgb="FF000000"/>
      <name val="Calibri"/>
      <family val="2"/>
    </font>
    <font>
      <b val="true"/>
      <sz val="9"/>
      <color rgb="FF000000"/>
      <name val="Calibri"/>
      <family val="2"/>
    </font>
    <font>
      <sz val="10"/>
      <color rgb="FF000000"/>
      <name val="Calibri"/>
      <family val="2"/>
    </font>
    <font>
      <sz val="11"/>
      <name val="Times New Roman"/>
      <family val="0"/>
    </font>
    <font>
      <b val="true"/>
      <sz val="12"/>
      <color rgb="FF000000"/>
      <name val="Calibri"/>
      <family val="0"/>
    </font>
    <font>
      <b val="true"/>
      <sz val="11"/>
      <color rgb="FF000000"/>
      <name val="Calibri"/>
      <family val="0"/>
    </font>
    <font>
      <b val="true"/>
      <sz val="14"/>
      <color rgb="FF2F5597"/>
      <name val="Calibri"/>
      <family val="0"/>
    </font>
    <font>
      <b val="true"/>
      <sz val="18"/>
      <color rgb="FF000000"/>
      <name val="Calibri"/>
      <family val="0"/>
    </font>
    <font>
      <b val="true"/>
      <sz val="20"/>
      <color rgb="FFFFFFFF"/>
      <name val="Calibri"/>
      <family val="0"/>
    </font>
    <font>
      <b val="true"/>
      <sz val="16"/>
      <color rgb="FFFFFFFF"/>
      <name val="Calibri"/>
      <family val="2"/>
      <charset val="1"/>
    </font>
    <font>
      <b val="true"/>
      <sz val="14"/>
      <color rgb="FFFFFFFF"/>
      <name val="Calibri"/>
      <family val="0"/>
    </font>
    <font>
      <b val="true"/>
      <sz val="16"/>
      <color rgb="FFFFFFFF"/>
      <name val="Calibri"/>
      <family val="0"/>
    </font>
  </fonts>
  <fills count="9">
    <fill>
      <patternFill patternType="none"/>
    </fill>
    <fill>
      <patternFill patternType="gray125"/>
    </fill>
    <fill>
      <patternFill patternType="solid">
        <fgColor rgb="FF2E75B6"/>
        <bgColor rgb="FF4472C4"/>
      </patternFill>
    </fill>
    <fill>
      <patternFill patternType="solid">
        <fgColor rgb="FFFFFFFF"/>
        <bgColor rgb="FFFFFFCC"/>
      </patternFill>
    </fill>
    <fill>
      <patternFill patternType="solid">
        <fgColor rgb="FF1F4E79"/>
        <bgColor rgb="FF2F5597"/>
      </patternFill>
    </fill>
    <fill>
      <patternFill patternType="solid">
        <fgColor rgb="FFB6DDE8"/>
        <bgColor rgb="FFCCCCCC"/>
      </patternFill>
    </fill>
    <fill>
      <patternFill patternType="solid">
        <fgColor rgb="FF7F7F7F"/>
        <bgColor rgb="FF8B8B8B"/>
      </patternFill>
    </fill>
    <fill>
      <patternFill patternType="solid">
        <fgColor rgb="FF4472C4"/>
        <bgColor rgb="FF2E75B6"/>
      </patternFill>
    </fill>
    <fill>
      <patternFill patternType="solid">
        <fgColor rgb="FFD9D9D9"/>
        <bgColor rgb="FFCCCCCC"/>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medium">
        <color rgb="FFCCCCCC"/>
      </left>
      <right style="medium">
        <color rgb="FFCCCCCC"/>
      </right>
      <top/>
      <bottom style="medium">
        <color rgb="FFCCCCCC"/>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70"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171" fontId="0" fillId="0" borderId="0" applyFont="true" applyBorder="false" applyAlignment="true" applyProtection="false">
      <alignment horizontal="general" vertical="bottom" textRotation="0" wrapText="false" indent="0" shrinkToFit="false"/>
    </xf>
    <xf numFmtId="42" fontId="1" fillId="0" borderId="0" applyFont="true" applyBorder="false" applyAlignment="false" applyProtection="false"/>
    <xf numFmtId="9" fontId="1" fillId="0" borderId="0" applyFont="true" applyBorder="false" applyAlignment="false" applyProtection="false"/>
  </cellStyleXfs>
  <cellXfs count="6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9" fillId="3" borderId="1" xfId="0" applyFont="true" applyBorder="true" applyAlignment="true" applyProtection="true">
      <alignment horizontal="center" vertical="center" textRotation="0" wrapText="true" indent="0" shrinkToFit="false"/>
      <protection locked="false" hidden="false"/>
    </xf>
    <xf numFmtId="164" fontId="0" fillId="0" borderId="0" xfId="0" applyFont="false" applyBorder="false" applyAlignment="true" applyProtection="true">
      <alignment horizontal="general" vertical="bottom" textRotation="0" wrapText="true" indent="0" shrinkToFit="false"/>
      <protection locked="true" hidden="true"/>
    </xf>
    <xf numFmtId="164" fontId="0" fillId="0" borderId="0" xfId="0" applyFont="false" applyBorder="false" applyAlignment="true" applyProtection="true">
      <alignment horizontal="general" vertical="bottom" textRotation="0" wrapText="true" indent="0" shrinkToFit="false"/>
      <protection locked="false" hidden="false"/>
    </xf>
    <xf numFmtId="164" fontId="12" fillId="4" borderId="1" xfId="0" applyFont="true" applyBorder="true" applyAlignment="true" applyProtection="true">
      <alignment horizontal="center" vertical="center" textRotation="0" wrapText="true" indent="0" shrinkToFit="false"/>
      <protection locked="true" hidden="true"/>
    </xf>
    <xf numFmtId="164" fontId="12" fillId="4" borderId="1" xfId="0" applyFont="true" applyBorder="true" applyAlignment="true" applyProtection="true">
      <alignment horizontal="center" vertical="center" textRotation="0" wrapText="true" indent="0" shrinkToFit="false"/>
      <protection locked="false" hidden="false"/>
    </xf>
    <xf numFmtId="164" fontId="13" fillId="5" borderId="2" xfId="0" applyFont="true" applyBorder="true" applyAlignment="true" applyProtection="true">
      <alignment horizontal="left" vertical="top" textRotation="0" wrapText="true" indent="0" shrinkToFit="false"/>
      <protection locked="true" hidden="true"/>
    </xf>
    <xf numFmtId="169" fontId="13" fillId="5" borderId="2" xfId="0" applyFont="true" applyBorder="true" applyAlignment="true" applyProtection="true">
      <alignment horizontal="left" vertical="top" textRotation="0" wrapText="true" indent="0" shrinkToFit="false"/>
      <protection locked="false" hidden="false"/>
    </xf>
    <xf numFmtId="169" fontId="13" fillId="5" borderId="2" xfId="0" applyFont="true" applyBorder="true" applyAlignment="true" applyProtection="true">
      <alignment horizontal="left" vertical="top" textRotation="0" wrapText="true" indent="0" shrinkToFit="false"/>
      <protection locked="true" hidden="true"/>
    </xf>
    <xf numFmtId="164" fontId="13" fillId="5" borderId="2" xfId="0" applyFont="true" applyBorder="true" applyAlignment="true" applyProtection="true">
      <alignment horizontal="left" vertical="top" textRotation="0" wrapText="true" indent="0" shrinkToFit="false"/>
      <protection locked="false" hidden="false"/>
    </xf>
    <xf numFmtId="164" fontId="14" fillId="0" borderId="2" xfId="0" applyFont="true" applyBorder="true" applyAlignment="true" applyProtection="true">
      <alignment horizontal="general" vertical="top" textRotation="0" wrapText="true" indent="0" shrinkToFit="false"/>
      <protection locked="true" hidden="true"/>
    </xf>
    <xf numFmtId="164" fontId="15" fillId="0" borderId="2" xfId="0" applyFont="true" applyBorder="true" applyAlignment="true" applyProtection="true">
      <alignment horizontal="general" vertical="top" textRotation="0" wrapText="true" indent="0" shrinkToFit="false"/>
      <protection locked="true" hidden="true"/>
    </xf>
    <xf numFmtId="164" fontId="15" fillId="0" borderId="2" xfId="0" applyFont="true" applyBorder="true" applyAlignment="true" applyProtection="true">
      <alignment horizontal="center" vertical="center" textRotation="0" wrapText="true" indent="0" shrinkToFit="false"/>
      <protection locked="true" hidden="true"/>
    </xf>
    <xf numFmtId="164" fontId="14" fillId="0" borderId="2" xfId="0" applyFont="true" applyBorder="true" applyAlignment="true" applyProtection="true">
      <alignment horizontal="center" vertical="center" textRotation="0" wrapText="true" indent="0" shrinkToFit="false"/>
      <protection locked="true" hidden="true"/>
    </xf>
    <xf numFmtId="167" fontId="15" fillId="0" borderId="2" xfId="15" applyFont="true" applyBorder="true" applyAlignment="true" applyProtection="true">
      <alignment horizontal="center" vertical="center" textRotation="0" wrapText="true" indent="0" shrinkToFit="false"/>
      <protection locked="true" hidden="true"/>
    </xf>
    <xf numFmtId="172" fontId="15" fillId="0" borderId="2" xfId="17" applyFont="true" applyBorder="true" applyAlignment="true" applyProtection="true">
      <alignment horizontal="center" vertical="center" textRotation="0" wrapText="true" indent="0" shrinkToFit="false"/>
      <protection locked="true" hidden="true"/>
    </xf>
    <xf numFmtId="164" fontId="15" fillId="0" borderId="2" xfId="0" applyFont="true" applyBorder="true" applyAlignment="true" applyProtection="true">
      <alignment horizontal="general" vertical="top" textRotation="0" wrapText="true" indent="0" shrinkToFit="false"/>
      <protection locked="false" hidden="false"/>
    </xf>
    <xf numFmtId="164" fontId="15" fillId="6" borderId="2" xfId="0" applyFont="true" applyBorder="true" applyAlignment="true" applyProtection="true">
      <alignment horizontal="general" vertical="top" textRotation="0" wrapText="true" indent="0" shrinkToFit="false"/>
      <protection locked="false" hidden="false"/>
    </xf>
    <xf numFmtId="166" fontId="15" fillId="0" borderId="2" xfId="17" applyFont="true" applyBorder="true" applyAlignment="true" applyProtection="true">
      <alignment horizontal="center" vertical="center" textRotation="0" wrapText="true" indent="0" shrinkToFit="false"/>
      <protection locked="true" hidden="true"/>
    </xf>
    <xf numFmtId="164" fontId="15" fillId="0" borderId="2" xfId="0" applyFont="true" applyBorder="true" applyAlignment="true" applyProtection="true">
      <alignment horizontal="general" vertical="center" textRotation="0" wrapText="true" indent="0" shrinkToFit="false"/>
      <protection locked="false" hidden="false"/>
    </xf>
    <xf numFmtId="164" fontId="15" fillId="0" borderId="2" xfId="0" applyFont="true" applyBorder="true" applyAlignment="true" applyProtection="true">
      <alignment horizontal="general" vertical="bottom" textRotation="0" wrapText="true" indent="0" shrinkToFit="false"/>
      <protection locked="false" hidden="false"/>
    </xf>
    <xf numFmtId="173" fontId="15" fillId="0" borderId="2" xfId="0" applyFont="true" applyBorder="true" applyAlignment="true" applyProtection="true">
      <alignment horizontal="general" vertical="top" textRotation="0" wrapText="true" indent="0" shrinkToFit="false"/>
      <protection locked="true" hidden="true"/>
    </xf>
    <xf numFmtId="164" fontId="14" fillId="0" borderId="2" xfId="0" applyFont="true" applyBorder="true" applyAlignment="true" applyProtection="true">
      <alignment horizontal="general" vertical="bottom" textRotation="0" wrapText="true" indent="0" shrinkToFit="false"/>
      <protection locked="true" hidden="true"/>
    </xf>
    <xf numFmtId="164" fontId="14" fillId="0" borderId="2" xfId="0" applyFont="true" applyBorder="true" applyAlignment="true" applyProtection="true">
      <alignment horizontal="general" vertical="center" textRotation="0" wrapText="true" indent="0" shrinkToFit="false"/>
      <protection locked="true" hidden="true"/>
    </xf>
    <xf numFmtId="164" fontId="15" fillId="0" borderId="2" xfId="0" applyFont="true" applyBorder="true" applyAlignment="true" applyProtection="true">
      <alignment horizontal="left" vertical="top" textRotation="0" wrapText="true" indent="0" shrinkToFit="false" readingOrder="1"/>
      <protection locked="true" hidden="true"/>
    </xf>
    <xf numFmtId="164" fontId="15" fillId="0" borderId="2" xfId="0" applyFont="true" applyBorder="true" applyAlignment="true" applyProtection="true">
      <alignment horizontal="left" vertical="top" textRotation="0" wrapText="true" indent="0" shrinkToFit="false"/>
      <protection locked="true" hidden="true"/>
    </xf>
    <xf numFmtId="164" fontId="0" fillId="0" borderId="2" xfId="0" applyFont="true" applyBorder="true" applyAlignment="true" applyProtection="true">
      <alignment horizontal="general" vertical="top" textRotation="0" wrapText="true" indent="0" shrinkToFit="false"/>
      <protection locked="true" hidden="true"/>
    </xf>
    <xf numFmtId="169" fontId="0" fillId="0" borderId="2" xfId="0" applyFont="true" applyBorder="true" applyAlignment="true" applyProtection="true">
      <alignment horizontal="general" vertical="top" textRotation="0" wrapText="true" indent="0" shrinkToFit="false"/>
      <protection locked="true" hidden="true"/>
    </xf>
    <xf numFmtId="164" fontId="15" fillId="0" borderId="2" xfId="0" applyFont="true" applyBorder="true" applyAlignment="true" applyProtection="true">
      <alignment horizontal="general" vertical="bottom" textRotation="0" wrapText="true" indent="0" shrinkToFit="false"/>
      <protection locked="true" hidden="true"/>
    </xf>
    <xf numFmtId="164" fontId="14" fillId="0" borderId="2" xfId="0" applyFont="true" applyBorder="true" applyAlignment="true" applyProtection="true">
      <alignment horizontal="general" vertical="top" textRotation="0" wrapText="true" indent="0" shrinkToFit="false"/>
      <protection locked="false" hidden="false"/>
    </xf>
    <xf numFmtId="164" fontId="15" fillId="0" borderId="2" xfId="0" applyFont="true" applyBorder="true" applyAlignment="true" applyProtection="true">
      <alignment horizontal="general" vertical="center" textRotation="0" wrapText="true" indent="0" shrinkToFit="false"/>
      <protection locked="true" hidden="true"/>
    </xf>
    <xf numFmtId="164" fontId="14" fillId="0" borderId="2" xfId="0" applyFont="true" applyBorder="true" applyAlignment="true" applyProtection="true">
      <alignment horizontal="general" vertical="center" textRotation="0" wrapText="true" indent="0" shrinkToFit="false"/>
      <protection locked="false" hidden="false"/>
    </xf>
    <xf numFmtId="164" fontId="14" fillId="0" borderId="2" xfId="0" applyFont="true" applyBorder="true" applyAlignment="true" applyProtection="true">
      <alignment horizontal="general" vertical="bottom" textRotation="0" wrapText="true" indent="0" shrinkToFit="false"/>
      <protection locked="false" hidden="false"/>
    </xf>
    <xf numFmtId="174" fontId="15" fillId="0" borderId="2" xfId="0" applyFont="true" applyBorder="true" applyAlignment="true" applyProtection="true">
      <alignment horizontal="general" vertical="top" textRotation="0" wrapText="true" indent="0" shrinkToFit="false"/>
      <protection locked="true" hidden="true"/>
    </xf>
    <xf numFmtId="164" fontId="0" fillId="0" borderId="2" xfId="0" applyFont="false" applyBorder="true" applyAlignment="true" applyProtection="true">
      <alignment horizontal="general" vertical="bottom" textRotation="0" wrapText="true" indent="0" shrinkToFit="false"/>
      <protection locked="true" hidden="true"/>
    </xf>
    <xf numFmtId="173" fontId="0" fillId="0" borderId="2" xfId="0" applyFont="false" applyBorder="true" applyAlignment="true" applyProtection="true">
      <alignment horizontal="general" vertical="top" textRotation="0" wrapText="true" indent="0" shrinkToFit="false"/>
      <protection locked="true" hidden="true"/>
    </xf>
    <xf numFmtId="164" fontId="16" fillId="0" borderId="0" xfId="0" applyFont="true" applyBorder="false" applyAlignment="true" applyProtection="true">
      <alignment horizontal="general" vertical="bottom" textRotation="0" wrapText="true" indent="0" shrinkToFit="false"/>
      <protection locked="false" hidden="false"/>
    </xf>
    <xf numFmtId="164" fontId="0" fillId="0" borderId="2" xfId="0" applyFont="false" applyBorder="true" applyAlignment="true" applyProtection="true">
      <alignment horizontal="general" vertical="center" textRotation="0" wrapText="true" indent="0" shrinkToFit="false"/>
      <protection locked="true" hidden="true"/>
    </xf>
    <xf numFmtId="167" fontId="15" fillId="0" borderId="2" xfId="0" applyFont="true" applyBorder="true" applyAlignment="true" applyProtection="true">
      <alignment horizontal="center" vertical="top" textRotation="0" wrapText="true" indent="0" shrinkToFit="false"/>
      <protection locked="true" hidden="true"/>
    </xf>
    <xf numFmtId="164" fontId="15" fillId="0" borderId="2" xfId="0" applyFont="true" applyBorder="true" applyAlignment="true" applyProtection="true">
      <alignment horizontal="center" vertical="top" textRotation="0" wrapText="true" indent="0" shrinkToFit="false"/>
      <protection locked="true" hidden="true"/>
    </xf>
    <xf numFmtId="175" fontId="15" fillId="0" borderId="2" xfId="0" applyFont="true" applyBorder="true" applyAlignment="true" applyProtection="true">
      <alignment horizontal="left" vertical="top" textRotation="0" wrapText="true" indent="0" shrinkToFit="false"/>
      <protection locked="true" hidden="true"/>
    </xf>
    <xf numFmtId="164" fontId="14" fillId="0" borderId="3" xfId="0" applyFont="true" applyBorder="true" applyAlignment="true" applyProtection="true">
      <alignment horizontal="general" vertical="bottom" textRotation="0" wrapText="true" indent="0" shrinkToFit="false"/>
      <protection locked="true" hidden="true"/>
    </xf>
    <xf numFmtId="164" fontId="15" fillId="0" borderId="3" xfId="0" applyFont="true" applyBorder="true" applyAlignment="true" applyProtection="true">
      <alignment horizontal="general" vertical="top" textRotation="0" wrapText="true" indent="0" shrinkToFit="false"/>
      <protection locked="true" hidden="true"/>
    </xf>
    <xf numFmtId="170" fontId="15" fillId="0" borderId="2" xfId="0" applyFont="true" applyBorder="true" applyAlignment="true" applyProtection="true">
      <alignment horizontal="left" vertical="top" textRotation="0" wrapText="true" indent="0" shrinkToFit="false"/>
      <protection locked="true" hidden="true"/>
    </xf>
    <xf numFmtId="169" fontId="15" fillId="0" borderId="2" xfId="0" applyFont="true" applyBorder="true" applyAlignment="true" applyProtection="true">
      <alignment horizontal="general" vertical="top" textRotation="0" wrapText="true" indent="0" shrinkToFit="false"/>
      <protection locked="true" hidden="true"/>
    </xf>
    <xf numFmtId="164" fontId="14" fillId="0" borderId="4" xfId="0" applyFont="true" applyBorder="true" applyAlignment="true" applyProtection="true">
      <alignment horizontal="general" vertical="top" textRotation="0" wrapText="true" indent="0" shrinkToFit="false"/>
      <protection locked="true" hidden="true"/>
    </xf>
    <xf numFmtId="164" fontId="14" fillId="0" borderId="0" xfId="0" applyFont="true" applyBorder="true" applyAlignment="true" applyProtection="true">
      <alignment horizontal="general" vertical="top" textRotation="0" wrapText="true" indent="0" shrinkToFit="false"/>
      <protection locked="true" hidden="true"/>
    </xf>
    <xf numFmtId="164" fontId="16" fillId="0" borderId="0" xfId="0" applyFont="true" applyBorder="false" applyAlignment="true" applyProtection="true">
      <alignment horizontal="general" vertical="bottom" textRotation="0" wrapText="true" indent="0" shrinkToFit="false"/>
      <protection locked="true" hidden="true"/>
    </xf>
    <xf numFmtId="164" fontId="0" fillId="7" borderId="0" xfId="0" applyFont="false" applyBorder="false" applyAlignment="false" applyProtection="false">
      <alignment horizontal="general" vertical="bottom" textRotation="0" wrapText="false" indent="0" shrinkToFit="false"/>
      <protection locked="true" hidden="false"/>
    </xf>
    <xf numFmtId="164" fontId="20" fillId="8" borderId="0"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0" fillId="4" borderId="0" xfId="0" applyFont="true" applyBorder="true" applyAlignment="true" applyProtection="false">
      <alignment horizontal="center"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dxfs count="8">
    <dxf>
      <fill>
        <patternFill>
          <bgColor rgb="FFFFFFFF"/>
        </patternFill>
      </fill>
    </dxf>
    <dxf>
      <font>
        <color rgb="FF7F7F7F"/>
      </font>
      <fill>
        <patternFill>
          <bgColor rgb="FF7F7F7F"/>
        </patternFill>
      </fill>
    </dxf>
    <dxf>
      <font>
        <color rgb="FFFFFFFF"/>
      </font>
      <fill>
        <patternFill>
          <bgColor rgb="FFFFFFFF"/>
        </patternFill>
      </fill>
    </dxf>
    <dxf>
      <font>
        <color rgb="FFFF0000"/>
      </font>
      <fill>
        <patternFill>
          <bgColor rgb="FFFF0000"/>
        </patternFill>
      </fill>
    </dxf>
    <dxf>
      <font>
        <color rgb="FFFFC000"/>
      </font>
      <fill>
        <patternFill>
          <bgColor rgb="FFFFC000"/>
        </patternFill>
      </fill>
    </dxf>
    <dxf>
      <font>
        <color rgb="FF00B050"/>
      </font>
      <fill>
        <patternFill>
          <bgColor rgb="FF00B050"/>
        </patternFill>
      </fill>
    </dxf>
    <dxf>
      <fill>
        <patternFill>
          <bgColor rgb="FFFFFFFF"/>
        </patternFill>
      </fill>
    </dxf>
    <dxf>
      <font>
        <color rgb="FF7F7F7F"/>
      </font>
      <fill>
        <patternFill>
          <bgColor rgb="FF7F7F7F"/>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7F7F7F"/>
      <rgbColor rgb="FFA5A5A5"/>
      <rgbColor rgb="FF993366"/>
      <rgbColor rgb="FFFFFFCC"/>
      <rgbColor rgb="FFCCFFFF"/>
      <rgbColor rgb="FF660066"/>
      <rgbColor rgb="FFFF8080"/>
      <rgbColor rgb="FF2E75B6"/>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B6DDE8"/>
      <rgbColor rgb="FFFF99CC"/>
      <rgbColor rgb="FFCC99FF"/>
      <rgbColor rgb="FFFFCC99"/>
      <rgbColor rgb="FF4472C4"/>
      <rgbColor rgb="FF5B9BD5"/>
      <rgbColor rgb="FF99CC00"/>
      <rgbColor rgb="FFFFC000"/>
      <rgbColor rgb="FFFF9900"/>
      <rgbColor rgb="FFED7D31"/>
      <rgbColor rgb="FF595959"/>
      <rgbColor rgb="FF8B8B8B"/>
      <rgbColor rgb="FF203864"/>
      <rgbColor rgb="FF00B050"/>
      <rgbColor rgb="FF003300"/>
      <rgbColor rgb="FF333300"/>
      <rgbColor rgb="FF993300"/>
      <rgbColor rgb="FF993366"/>
      <rgbColor rgb="FF1F4E79"/>
      <rgbColor rgb="FF2F5597"/>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Total</a:t>
            </a:r>
          </a:p>
        </c:rich>
      </c:tx>
      <c:overlay val="0"/>
      <c:spPr>
        <a:noFill/>
        <a:ln>
          <a:noFill/>
        </a:ln>
      </c:spPr>
    </c:title>
    <c:autoTitleDeleted val="0"/>
    <c:plotArea>
      <c:barChart>
        <c:barDir val="bar"/>
        <c:grouping val="clustered"/>
        <c:varyColors val="0"/>
        <c:ser>
          <c:idx val="0"/>
          <c:order val="0"/>
          <c:tx>
            <c:strRef>
              <c:f>F_source!$B$3</c:f>
              <c:strCache>
                <c:ptCount val="1"/>
                <c:pt idx="0">
                  <c:v>Count of Funded /Unfunded</c:v>
                </c:pt>
              </c:strCache>
            </c:strRef>
          </c:tx>
          <c:spPr>
            <a:solidFill>
              <a:srgbClr val="5b9bd5"/>
            </a:solidFill>
            <a:ln>
              <a:noFill/>
            </a:ln>
          </c:spPr>
          <c:invertIfNegative val="0"/>
          <c:dLbls>
            <c:numFmt formatCode="0%" sourceLinked="1"/>
            <c:dLblPos val="outEnd"/>
            <c:showLegendKey val="0"/>
            <c:showVal val="0"/>
            <c:showCatName val="0"/>
            <c:showSerName val="0"/>
            <c:showPercent val="0"/>
            <c:showLeaderLines val="0"/>
          </c:dLbls>
          <c:cat>
            <c:strRef>
              <c:f>F_source!$A$4:$A$16</c:f>
              <c:strCache>
                <c:ptCount val="13"/>
                <c:pt idx="0">
                  <c:v>AFENET</c:v>
                </c:pt>
                <c:pt idx="1">
                  <c:v>CDC</c:v>
                </c:pt>
                <c:pt idx="2">
                  <c:v>CHAI</c:v>
                </c:pt>
                <c:pt idx="3">
                  <c:v>GoU</c:v>
                </c:pt>
                <c:pt idx="4">
                  <c:v>HSS2/GAVI</c:v>
                </c:pt>
                <c:pt idx="5">
                  <c:v>JSI</c:v>
                </c:pt>
                <c:pt idx="6">
                  <c:v>PATH</c:v>
                </c:pt>
                <c:pt idx="7">
                  <c:v>UNICEF</c:v>
                </c:pt>
                <c:pt idx="8">
                  <c:v>WHO</c:v>
                </c:pt>
                <c:pt idx="9">
                  <c:v>PBF/Gavi</c:v>
                </c:pt>
                <c:pt idx="10">
                  <c:v>WHO (PEF 2019)</c:v>
                </c:pt>
                <c:pt idx="11">
                  <c:v>UNEPI</c:v>
                </c:pt>
                <c:pt idx="12">
                  <c:v>Grand Total</c:v>
                </c:pt>
              </c:strCache>
            </c:strRef>
          </c:cat>
          <c:val>
            <c:numRef>
              <c:f>F_source!$B$4:$B$16</c:f>
              <c:numCache>
                <c:formatCode>General</c:formatCode>
                <c:ptCount val="13"/>
                <c:pt idx="0">
                  <c:v>0.0459770114942529</c:v>
                </c:pt>
                <c:pt idx="1">
                  <c:v>0.0114942528735632</c:v>
                </c:pt>
                <c:pt idx="2">
                  <c:v>0.0689655172413793</c:v>
                </c:pt>
                <c:pt idx="3">
                  <c:v>0.218390804597701</c:v>
                </c:pt>
                <c:pt idx="4">
                  <c:v>0.229885057471264</c:v>
                </c:pt>
                <c:pt idx="5">
                  <c:v>0.0229885057471264</c:v>
                </c:pt>
                <c:pt idx="6">
                  <c:v>0.103448275862069</c:v>
                </c:pt>
                <c:pt idx="7">
                  <c:v>0.0804597701149425</c:v>
                </c:pt>
                <c:pt idx="8">
                  <c:v>0.0919540229885057</c:v>
                </c:pt>
                <c:pt idx="9">
                  <c:v>0.103448275862069</c:v>
                </c:pt>
                <c:pt idx="10">
                  <c:v>0.0114942528735632</c:v>
                </c:pt>
                <c:pt idx="11">
                  <c:v>0.0114942528735632</c:v>
                </c:pt>
                <c:pt idx="12">
                  <c:v>1</c:v>
                </c:pt>
              </c:numCache>
            </c:numRef>
          </c:val>
        </c:ser>
        <c:gapWidth val="219"/>
        <c:overlap val="0"/>
        <c:axId val="51568978"/>
        <c:axId val="86420599"/>
      </c:barChart>
      <c:catAx>
        <c:axId val="51568978"/>
        <c:scaling>
          <c:orientation val="minMax"/>
        </c:scaling>
        <c:delete val="0"/>
        <c:axPos val="b"/>
        <c:numFmt formatCode="General"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86420599"/>
        <c:crosses val="autoZero"/>
        <c:auto val="1"/>
        <c:lblAlgn val="ctr"/>
        <c:lblOffset val="100"/>
      </c:catAx>
      <c:valAx>
        <c:axId val="86420599"/>
        <c:scaling>
          <c:orientation val="minMax"/>
        </c:scaling>
        <c:delete val="0"/>
        <c:axPos val="l"/>
        <c:majorGridlines>
          <c:spPr>
            <a:ln w="9360">
              <a:solidFill>
                <a:srgbClr val="d9d9d9"/>
              </a:solidFill>
              <a:round/>
            </a:ln>
          </c:spPr>
        </c:majorGridlines>
        <c:numFmt formatCode="0%" sourceLinked="0"/>
        <c:majorTickMark val="none"/>
        <c:minorTickMark val="none"/>
        <c:tickLblPos val="nextTo"/>
        <c:spPr>
          <a:ln w="6480">
            <a:noFill/>
          </a:ln>
        </c:spPr>
        <c:txPr>
          <a:bodyPr/>
          <a:lstStyle/>
          <a:p>
            <a:pPr>
              <a:defRPr b="0" sz="900" spc="-1" strike="noStrike">
                <a:solidFill>
                  <a:srgbClr val="595959"/>
                </a:solidFill>
                <a:latin typeface="Calibri"/>
              </a:defRPr>
            </a:pPr>
          </a:p>
        </c:txPr>
        <c:crossAx val="51568978"/>
        <c:crosses val="autoZero"/>
      </c:valAx>
      <c:spPr>
        <a:noFill/>
        <a:ln>
          <a:noFill/>
        </a:ln>
      </c:spPr>
    </c:plotArea>
    <c:legend>
      <c:legendPos val="r"/>
      <c:overlay val="0"/>
      <c:spPr>
        <a:noFill/>
        <a:ln>
          <a:noFill/>
        </a:ln>
      </c:spPr>
      <c:txPr>
        <a:bodyPr/>
        <a:lstStyle/>
        <a:p>
          <a:pPr>
            <a:defRPr b="0" sz="900" spc="-1" strike="noStrike">
              <a:solidFill>
                <a:srgbClr val="595959"/>
              </a:solidFill>
              <a:latin typeface="Calibri"/>
            </a:defRPr>
          </a:pPr>
        </a:p>
      </c:txPr>
    </c:legend>
    <c:plotVisOnly val="1"/>
    <c:dispBlanksAs val="gap"/>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Total</a:t>
            </a:r>
          </a:p>
        </c:rich>
      </c:tx>
      <c:overlay val="0"/>
      <c:spPr>
        <a:noFill/>
        <a:ln>
          <a:noFill/>
        </a:ln>
      </c:spPr>
    </c:title>
    <c:autoTitleDeleted val="0"/>
    <c:plotArea>
      <c:barChart>
        <c:barDir val="col"/>
        <c:grouping val="clustered"/>
        <c:varyColors val="0"/>
        <c:ser>
          <c:idx val="0"/>
          <c:order val="0"/>
          <c:tx>
            <c:strRef>
              <c:f>'qtr_budget all'!$B$3</c:f>
              <c:strCache>
                <c:ptCount val="1"/>
                <c:pt idx="0">
                  <c:v/>
                </c:pt>
              </c:strCache>
            </c:strRef>
          </c:tx>
          <c:spPr>
            <a:solidFill>
              <a:srgbClr val="5b9bd5"/>
            </a:solidFill>
            <a:ln>
              <a:noFill/>
            </a:ln>
          </c:spPr>
          <c:invertIfNegative val="0"/>
          <c:dLbls>
            <c:numFmt formatCode="_(\$* #,##0_);_(\$* \(#,##0\);_(\$* \-??_);_(@_)" sourceLinked="1"/>
            <c:dLblPos val="outEnd"/>
            <c:showLegendKey val="0"/>
            <c:showVal val="0"/>
            <c:showCatName val="0"/>
            <c:showSerName val="0"/>
            <c:showPercent val="0"/>
            <c:showLeaderLines val="0"/>
          </c:dLbls>
          <c:cat>
            <c:strRef>
              <c:f>'qtr_budget all'!$A$4:$A$9</c:f>
              <c:strCache>
                <c:ptCount val="6"/>
                <c:pt idx="0">
                  <c:v>'Budget 2020Q1</c:v>
                </c:pt>
                <c:pt idx="1">
                  <c:v>'Budget 2020Q2</c:v>
                </c:pt>
                <c:pt idx="2">
                  <c:v>'Budget 2020Q3</c:v>
                </c:pt>
                <c:pt idx="3">
                  <c:v>'Budget 2020Q4</c:v>
                </c:pt>
                <c:pt idx="4">
                  <c:v>'Budget 2021Q1</c:v>
                </c:pt>
                <c:pt idx="5">
                  <c:v>'Budget 2021Q2</c:v>
                </c:pt>
              </c:strCache>
            </c:strRef>
          </c:cat>
          <c:val>
            <c:numRef>
              <c:f>'qtr_budget all'!$B$4:$B$9</c:f>
              <c:numCache>
                <c:formatCode>General</c:formatCode>
                <c:ptCount val="6"/>
                <c:pt idx="0">
                  <c:v>12513916.6666667</c:v>
                </c:pt>
                <c:pt idx="1">
                  <c:v>22372566.6666667</c:v>
                </c:pt>
                <c:pt idx="2">
                  <c:v>21176858.3333333</c:v>
                </c:pt>
                <c:pt idx="3">
                  <c:v>20650275</c:v>
                </c:pt>
                <c:pt idx="4">
                  <c:v>9610941.66666667</c:v>
                </c:pt>
                <c:pt idx="5">
                  <c:v>8845941.66666667</c:v>
                </c:pt>
              </c:numCache>
            </c:numRef>
          </c:val>
        </c:ser>
        <c:gapWidth val="219"/>
        <c:overlap val="-27"/>
        <c:axId val="80315754"/>
        <c:axId val="18620661"/>
      </c:barChart>
      <c:catAx>
        <c:axId val="80315754"/>
        <c:scaling>
          <c:orientation val="minMax"/>
        </c:scaling>
        <c:delete val="0"/>
        <c:axPos val="b"/>
        <c:numFmt formatCode="General"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18620661"/>
        <c:crosses val="autoZero"/>
        <c:auto val="1"/>
        <c:lblAlgn val="ctr"/>
        <c:lblOffset val="100"/>
      </c:catAx>
      <c:valAx>
        <c:axId val="18620661"/>
        <c:scaling>
          <c:orientation val="minMax"/>
        </c:scaling>
        <c:delete val="0"/>
        <c:axPos val="l"/>
        <c:majorGridlines>
          <c:spPr>
            <a:ln w="9360">
              <a:solidFill>
                <a:srgbClr val="d9d9d9"/>
              </a:solidFill>
              <a:round/>
            </a:ln>
          </c:spPr>
        </c:majorGridlines>
        <c:numFmt formatCode="_(\$* #,##0_);_(\$* \(#,##0\);_(\$* \-??_);_(@_)" sourceLinked="0"/>
        <c:majorTickMark val="none"/>
        <c:minorTickMark val="none"/>
        <c:tickLblPos val="nextTo"/>
        <c:spPr>
          <a:ln w="6480">
            <a:noFill/>
          </a:ln>
        </c:spPr>
        <c:txPr>
          <a:bodyPr/>
          <a:lstStyle/>
          <a:p>
            <a:pPr>
              <a:defRPr b="0" sz="900" spc="-1" strike="noStrike">
                <a:solidFill>
                  <a:srgbClr val="595959"/>
                </a:solidFill>
                <a:latin typeface="Calibri"/>
              </a:defRPr>
            </a:pPr>
          </a:p>
        </c:txPr>
        <c:crossAx val="80315754"/>
        <c:crosses val="autoZero"/>
      </c:valAx>
      <c:spPr>
        <a:noFill/>
        <a:ln>
          <a:noFill/>
        </a:ln>
      </c:spPr>
    </c:plotArea>
    <c:legend>
      <c:legendPos val="r"/>
      <c:overlay val="0"/>
      <c:spPr>
        <a:noFill/>
        <a:ln>
          <a:noFill/>
        </a:ln>
      </c:spPr>
      <c:txPr>
        <a:bodyPr/>
        <a:lstStyle/>
        <a:p>
          <a:pPr>
            <a:defRPr b="0" sz="900" spc="-1" strike="noStrike">
              <a:solidFill>
                <a:srgbClr val="595959"/>
              </a:solidFill>
              <a:latin typeface="Calibri"/>
            </a:defRPr>
          </a:pPr>
        </a:p>
      </c:txPr>
    </c:legend>
    <c:plotVisOnly val="1"/>
    <c:dispBlanksAs val="gap"/>
  </c:chart>
  <c:spPr>
    <a:solidFill>
      <a:srgbClr val="ffffff"/>
    </a:solidFill>
    <a:ln w="9360">
      <a:solidFill>
        <a:srgbClr val="d9d9d9"/>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600" spc="-1" strike="noStrike">
                <a:solidFill>
                  <a:srgbClr val="595959"/>
                </a:solidFill>
                <a:latin typeface="Calibri"/>
              </a:defRPr>
            </a:pPr>
            <a:r>
              <a:rPr b="1" sz="1600" spc="-1" strike="noStrike">
                <a:solidFill>
                  <a:srgbClr val="595959"/>
                </a:solidFill>
                <a:latin typeface="Calibri"/>
              </a:rPr>
              <a:t>Total</a:t>
            </a:r>
          </a:p>
        </c:rich>
      </c:tx>
      <c:overlay val="0"/>
      <c:spPr>
        <a:noFill/>
        <a:ln>
          <a:noFill/>
        </a:ln>
      </c:spPr>
    </c:title>
    <c:autoTitleDeleted val="0"/>
    <c:plotArea>
      <c:pieChart>
        <c:varyColors val="1"/>
        <c:ser>
          <c:idx val="0"/>
          <c:order val="0"/>
          <c:tx>
            <c:strRef>
              <c:f>'funds_national v district'!$B$3</c:f>
              <c:strCache>
                <c:ptCount val="1"/>
                <c:pt idx="0">
                  <c:v>Total activity costs</c:v>
                </c:pt>
              </c:strCache>
            </c:strRef>
          </c:tx>
          <c:spPr>
            <a:solidFill>
              <a:srgbClr val="5b9bd5"/>
            </a:solidFill>
            <a:ln>
              <a:noFill/>
            </a:ln>
          </c:spPr>
          <c:explosion val="0"/>
          <c:dPt>
            <c:idx val="0"/>
            <c:spPr>
              <a:solidFill>
                <a:srgbClr val="5b9bd5"/>
              </a:solidFill>
              <a:ln>
                <a:noFill/>
              </a:ln>
            </c:spPr>
          </c:dPt>
          <c:dPt>
            <c:idx val="1"/>
            <c:spPr>
              <a:solidFill>
                <a:srgbClr val="ed7d31"/>
              </a:solidFill>
              <a:ln>
                <a:noFill/>
              </a:ln>
            </c:spPr>
          </c:dPt>
          <c:dPt>
            <c:idx val="2"/>
            <c:spPr>
              <a:solidFill>
                <a:srgbClr val="a5a5a5"/>
              </a:solidFill>
              <a:ln>
                <a:noFill/>
              </a:ln>
            </c:spPr>
          </c:dPt>
          <c:dLbls>
            <c:numFmt formatCode="_([$$-409]* #,##0_);_([$$-409]* \(#,##0\);_([$$-409]* \-??_);_(@_)" sourceLinked="1"/>
            <c:dLbl>
              <c:idx val="0"/>
              <c:dLblPos val="outEnd"/>
              <c:showLegendKey val="0"/>
              <c:showVal val="1"/>
              <c:showCatName val="1"/>
              <c:showSerName val="0"/>
              <c:showPercent val="1"/>
            </c:dLbl>
            <c:dLbl>
              <c:idx val="1"/>
              <c:dLblPos val="outEnd"/>
              <c:showLegendKey val="0"/>
              <c:showVal val="1"/>
              <c:showCatName val="1"/>
              <c:showSerName val="0"/>
              <c:showPercent val="1"/>
            </c:dLbl>
            <c:dLbl>
              <c:idx val="2"/>
              <c:dLblPos val="outEnd"/>
              <c:showLegendKey val="0"/>
              <c:showVal val="1"/>
              <c:showCatName val="1"/>
              <c:showSerName val="0"/>
              <c:showPercent val="1"/>
            </c:dLbl>
            <c:dLblPos val="outEnd"/>
            <c:showLegendKey val="0"/>
            <c:showVal val="1"/>
            <c:showCatName val="1"/>
            <c:showSerName val="0"/>
            <c:showPercent val="1"/>
            <c:showLeaderLines val="0"/>
          </c:dLbls>
          <c:cat>
            <c:strRef>
              <c:f>'funds_national v district'!$A$4:$A$6</c:f>
              <c:strCache>
                <c:ptCount val="3"/>
                <c:pt idx="0">
                  <c:v>District</c:v>
                </c:pt>
                <c:pt idx="1">
                  <c:v>National</c:v>
                </c:pt>
                <c:pt idx="2">
                  <c:v>Grand Total</c:v>
                </c:pt>
              </c:strCache>
            </c:strRef>
          </c:cat>
          <c:val>
            <c:numRef>
              <c:f>'funds_national v district'!$B$4:$B$6</c:f>
              <c:numCache>
                <c:formatCode>General</c:formatCode>
                <c:ptCount val="3"/>
                <c:pt idx="0">
                  <c:v>35780000</c:v>
                </c:pt>
                <c:pt idx="1">
                  <c:v>59390500</c:v>
                </c:pt>
                <c:pt idx="2">
                  <c:v>95170500</c:v>
                </c:pt>
              </c:numCache>
            </c:numRef>
          </c:val>
        </c:ser>
        <c:firstSliceAng val="0"/>
      </c:pieChart>
      <c:spPr>
        <a:noFill/>
        <a:ln>
          <a:noFill/>
        </a:ln>
      </c:spPr>
    </c:plotArea>
    <c:plotVisOnly val="1"/>
    <c:dispBlanksAs val="gap"/>
  </c:chart>
  <c:spPr>
    <a:solidFill>
      <a:srgbClr val="ffffff"/>
    </a:solidFill>
    <a:ln w="9360">
      <a:solidFill>
        <a:srgbClr val="d9d9d9"/>
      </a:solidFill>
      <a:round/>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100" spc="-1" strike="noStrike" u="sng">
                <a:solidFill>
                  <a:srgbClr val="000000"/>
                </a:solidFill>
                <a:uFillTx/>
                <a:latin typeface="Calibri"/>
              </a:defRPr>
            </a:pPr>
            <a:r>
              <a:rPr b="1" sz="1100" spc="-1" strike="noStrike" u="sng">
                <a:solidFill>
                  <a:srgbClr val="000000"/>
                </a:solidFill>
                <a:uFillTx/>
                <a:latin typeface="Calibri"/>
              </a:rPr>
              <a:t>Activity distribution  by funding source</a:t>
            </a:r>
          </a:p>
        </c:rich>
      </c:tx>
      <c:overlay val="0"/>
      <c:spPr>
        <a:noFill/>
        <a:ln>
          <a:noFill/>
        </a:ln>
      </c:spPr>
    </c:title>
    <c:autoTitleDeleted val="0"/>
    <c:plotArea>
      <c:barChart>
        <c:barDir val="bar"/>
        <c:grouping val="clustered"/>
        <c:varyColors val="0"/>
        <c:ser>
          <c:idx val="0"/>
          <c:order val="0"/>
          <c:tx>
            <c:strRef>
              <c:f>F_source!$B$3</c:f>
              <c:strCache>
                <c:ptCount val="1"/>
                <c:pt idx="0">
                  <c:v>Count of Funded /Unfunded</c:v>
                </c:pt>
              </c:strCache>
            </c:strRef>
          </c:tx>
          <c:spPr>
            <a:solidFill>
              <a:srgbClr val="00b050"/>
            </a:solidFill>
            <a:ln>
              <a:noFill/>
            </a:ln>
          </c:spPr>
          <c:invertIfNegative val="0"/>
          <c:dLbls>
            <c:numFmt formatCode="0%" sourceLinked="1"/>
            <c:dLblPos val="outEnd"/>
            <c:showLegendKey val="0"/>
            <c:showVal val="1"/>
            <c:showCatName val="0"/>
            <c:showSerName val="0"/>
            <c:showPercent val="0"/>
            <c:showLeaderLines val="0"/>
          </c:dLbls>
          <c:cat>
            <c:strRef>
              <c:f>F_source!$A$4:$A$16</c:f>
              <c:strCache>
                <c:ptCount val="13"/>
                <c:pt idx="0">
                  <c:v>AFENET</c:v>
                </c:pt>
                <c:pt idx="1">
                  <c:v>CDC</c:v>
                </c:pt>
                <c:pt idx="2">
                  <c:v>CHAI</c:v>
                </c:pt>
                <c:pt idx="3">
                  <c:v>GoU</c:v>
                </c:pt>
                <c:pt idx="4">
                  <c:v>HSS2/GAVI</c:v>
                </c:pt>
                <c:pt idx="5">
                  <c:v>JSI</c:v>
                </c:pt>
                <c:pt idx="6">
                  <c:v>PATH</c:v>
                </c:pt>
                <c:pt idx="7">
                  <c:v>UNICEF</c:v>
                </c:pt>
                <c:pt idx="8">
                  <c:v>WHO</c:v>
                </c:pt>
                <c:pt idx="9">
                  <c:v>PBF/Gavi</c:v>
                </c:pt>
                <c:pt idx="10">
                  <c:v>WHO (PEF 2019)</c:v>
                </c:pt>
                <c:pt idx="11">
                  <c:v>UNEPI</c:v>
                </c:pt>
                <c:pt idx="12">
                  <c:v>Grand Total</c:v>
                </c:pt>
              </c:strCache>
            </c:strRef>
          </c:cat>
          <c:val>
            <c:numRef>
              <c:f>F_source!$B$4:$B$16</c:f>
              <c:numCache>
                <c:formatCode>General</c:formatCode>
                <c:ptCount val="13"/>
                <c:pt idx="0">
                  <c:v>0.0459770114942529</c:v>
                </c:pt>
                <c:pt idx="1">
                  <c:v>0.0114942528735632</c:v>
                </c:pt>
                <c:pt idx="2">
                  <c:v>0.0689655172413793</c:v>
                </c:pt>
                <c:pt idx="3">
                  <c:v>0.218390804597701</c:v>
                </c:pt>
                <c:pt idx="4">
                  <c:v>0.229885057471264</c:v>
                </c:pt>
                <c:pt idx="5">
                  <c:v>0.0229885057471264</c:v>
                </c:pt>
                <c:pt idx="6">
                  <c:v>0.103448275862069</c:v>
                </c:pt>
                <c:pt idx="7">
                  <c:v>0.0804597701149425</c:v>
                </c:pt>
                <c:pt idx="8">
                  <c:v>0.0919540229885057</c:v>
                </c:pt>
                <c:pt idx="9">
                  <c:v>0.103448275862069</c:v>
                </c:pt>
                <c:pt idx="10">
                  <c:v>0.0114942528735632</c:v>
                </c:pt>
                <c:pt idx="11">
                  <c:v>0.0114942528735632</c:v>
                </c:pt>
                <c:pt idx="12">
                  <c:v>1</c:v>
                </c:pt>
              </c:numCache>
            </c:numRef>
          </c:val>
        </c:ser>
        <c:gapWidth val="40"/>
        <c:overlap val="0"/>
        <c:axId val="99496264"/>
        <c:axId val="10084254"/>
      </c:barChart>
      <c:catAx>
        <c:axId val="99496264"/>
        <c:scaling>
          <c:orientation val="minMax"/>
        </c:scaling>
        <c:delete val="0"/>
        <c:axPos val="b"/>
        <c:numFmt formatCode="General" sourceLinked="1"/>
        <c:majorTickMark val="none"/>
        <c:minorTickMark val="none"/>
        <c:tickLblPos val="nextTo"/>
        <c:spPr>
          <a:ln w="12600">
            <a:solidFill>
              <a:srgbClr val="203864"/>
            </a:solidFill>
            <a:round/>
          </a:ln>
        </c:spPr>
        <c:txPr>
          <a:bodyPr/>
          <a:lstStyle/>
          <a:p>
            <a:pPr>
              <a:defRPr b="1" sz="900" spc="-1" strike="noStrike">
                <a:solidFill>
                  <a:srgbClr val="000000"/>
                </a:solidFill>
                <a:latin typeface="Calibri"/>
              </a:defRPr>
            </a:pPr>
          </a:p>
        </c:txPr>
        <c:crossAx val="10084254"/>
        <c:crosses val="autoZero"/>
        <c:auto val="1"/>
        <c:lblAlgn val="ctr"/>
        <c:lblOffset val="100"/>
      </c:catAx>
      <c:valAx>
        <c:axId val="10084254"/>
        <c:scaling>
          <c:orientation val="minMax"/>
        </c:scaling>
        <c:delete val="0"/>
        <c:axPos val="l"/>
        <c:numFmt formatCode="0%" sourceLinked="0"/>
        <c:majorTickMark val="none"/>
        <c:minorTickMark val="none"/>
        <c:tickLblPos val="nextTo"/>
        <c:spPr>
          <a:ln w="6480">
            <a:noFill/>
          </a:ln>
        </c:spPr>
        <c:txPr>
          <a:bodyPr/>
          <a:lstStyle/>
          <a:p>
            <a:pPr>
              <a:defRPr b="1" sz="900" spc="-1" strike="noStrike">
                <a:solidFill>
                  <a:srgbClr val="000000"/>
                </a:solidFill>
                <a:latin typeface="Calibri"/>
              </a:defRPr>
            </a:pPr>
          </a:p>
        </c:txPr>
        <c:crossAx val="99496264"/>
        <c:crosses val="autoZero"/>
        <c:majorUnit val="0.2"/>
      </c:valAx>
      <c:spPr>
        <a:noFill/>
        <a:ln>
          <a:noFill/>
        </a:ln>
      </c:spPr>
    </c:plotArea>
    <c:plotVisOnly val="1"/>
    <c:dispBlanksAs val="gap"/>
  </c:chart>
  <c:spPr>
    <a:solidFill>
      <a:srgbClr val="ffffff"/>
    </a:solidFill>
    <a:ln w="9360">
      <a:solidFill>
        <a:srgbClr val="d9d9d9"/>
      </a:solidFill>
      <a:round/>
    </a:ln>
  </c:spPr>
</c:chartSpace>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100" spc="-1" strike="noStrike" u="sng">
                <a:solidFill>
                  <a:srgbClr val="000000"/>
                </a:solidFill>
                <a:uFillTx/>
                <a:latin typeface="Calibri"/>
              </a:defRPr>
            </a:pPr>
            <a:r>
              <a:rPr b="1" sz="1100" spc="-1" strike="noStrike" u="sng">
                <a:solidFill>
                  <a:srgbClr val="000000"/>
                </a:solidFill>
                <a:uFillTx/>
                <a:latin typeface="Calibri"/>
              </a:rPr>
              <a:t>Budget allocation per quarter</a:t>
            </a:r>
          </a:p>
        </c:rich>
      </c:tx>
      <c:overlay val="0"/>
      <c:spPr>
        <a:noFill/>
        <a:ln>
          <a:noFill/>
        </a:ln>
      </c:spPr>
    </c:title>
    <c:autoTitleDeleted val="0"/>
    <c:plotArea>
      <c:barChart>
        <c:barDir val="col"/>
        <c:grouping val="clustered"/>
        <c:varyColors val="0"/>
        <c:ser>
          <c:idx val="0"/>
          <c:order val="0"/>
          <c:tx>
            <c:strRef>
              <c:f>'qtr_budget all'!$B$3</c:f>
              <c:strCache>
                <c:ptCount val="1"/>
                <c:pt idx="0">
                  <c:v/>
                </c:pt>
              </c:strCache>
            </c:strRef>
          </c:tx>
          <c:spPr>
            <a:solidFill>
              <a:srgbClr val="ed7d31"/>
            </a:solidFill>
            <a:ln>
              <a:noFill/>
            </a:ln>
          </c:spPr>
          <c:invertIfNegative val="0"/>
          <c:dPt>
            <c:idx val="2"/>
            <c:invertIfNegative val="0"/>
            <c:spPr>
              <a:solidFill>
                <a:srgbClr val="ed7d31"/>
              </a:solidFill>
              <a:ln>
                <a:noFill/>
              </a:ln>
            </c:spPr>
          </c:dPt>
          <c:dPt>
            <c:idx val="3"/>
            <c:invertIfNegative val="0"/>
            <c:spPr>
              <a:solidFill>
                <a:srgbClr val="ed7d31"/>
              </a:solidFill>
              <a:ln>
                <a:noFill/>
              </a:ln>
            </c:spPr>
          </c:dPt>
          <c:dPt>
            <c:idx val="5"/>
            <c:invertIfNegative val="0"/>
            <c:spPr>
              <a:solidFill>
                <a:srgbClr val="ed7d31"/>
              </a:solidFill>
              <a:ln>
                <a:noFill/>
              </a:ln>
            </c:spPr>
          </c:dPt>
          <c:dLbls>
            <c:numFmt formatCode="_(\$* #,##0_);_(\$* \(#,##0\);_(\$* \-??_);_(@_)" sourceLinked="1"/>
            <c:dLbl>
              <c:idx val="2"/>
              <c:dLblPos val="outEnd"/>
              <c:showLegendKey val="0"/>
              <c:showVal val="1"/>
              <c:showCatName val="0"/>
              <c:showSerName val="0"/>
              <c:showPercent val="0"/>
            </c:dLbl>
            <c:dLbl>
              <c:idx val="3"/>
              <c:dLblPos val="outEnd"/>
              <c:showLegendKey val="0"/>
              <c:showVal val="1"/>
              <c:showCatName val="0"/>
              <c:showSerName val="0"/>
              <c:showPercent val="0"/>
            </c:dLbl>
            <c:dLbl>
              <c:idx val="5"/>
              <c:dLblPos val="outEnd"/>
              <c:showLegendKey val="0"/>
              <c:showVal val="1"/>
              <c:showCatName val="0"/>
              <c:showSerName val="0"/>
              <c:showPercent val="0"/>
            </c:dLbl>
            <c:dLblPos val="outEnd"/>
            <c:showLegendKey val="0"/>
            <c:showVal val="1"/>
            <c:showCatName val="0"/>
            <c:showSerName val="0"/>
            <c:showPercent val="0"/>
            <c:showLeaderLines val="0"/>
          </c:dLbls>
          <c:cat>
            <c:strRef>
              <c:f>'qtr_budget all'!$A$4:$A$9</c:f>
              <c:strCache>
                <c:ptCount val="6"/>
                <c:pt idx="0">
                  <c:v>'Budget 2020Q1</c:v>
                </c:pt>
                <c:pt idx="1">
                  <c:v>'Budget 2020Q2</c:v>
                </c:pt>
                <c:pt idx="2">
                  <c:v>'Budget 2020Q3</c:v>
                </c:pt>
                <c:pt idx="3">
                  <c:v>'Budget 2020Q4</c:v>
                </c:pt>
                <c:pt idx="4">
                  <c:v>'Budget 2021Q1</c:v>
                </c:pt>
                <c:pt idx="5">
                  <c:v>'Budget 2021Q2</c:v>
                </c:pt>
              </c:strCache>
            </c:strRef>
          </c:cat>
          <c:val>
            <c:numRef>
              <c:f>'qtr_budget all'!$B$4:$B$9</c:f>
              <c:numCache>
                <c:formatCode>General</c:formatCode>
                <c:ptCount val="6"/>
                <c:pt idx="0">
                  <c:v>12513916.6666667</c:v>
                </c:pt>
                <c:pt idx="1">
                  <c:v>22372566.6666667</c:v>
                </c:pt>
                <c:pt idx="2">
                  <c:v>21176858.3333333</c:v>
                </c:pt>
                <c:pt idx="3">
                  <c:v>20650275</c:v>
                </c:pt>
                <c:pt idx="4">
                  <c:v>9610941.66666667</c:v>
                </c:pt>
                <c:pt idx="5">
                  <c:v>8845941.66666667</c:v>
                </c:pt>
              </c:numCache>
            </c:numRef>
          </c:val>
        </c:ser>
        <c:gapWidth val="74"/>
        <c:overlap val="-17"/>
        <c:axId val="73805371"/>
        <c:axId val="19712146"/>
      </c:barChart>
      <c:catAx>
        <c:axId val="73805371"/>
        <c:scaling>
          <c:orientation val="minMax"/>
        </c:scaling>
        <c:delete val="0"/>
        <c:axPos val="b"/>
        <c:numFmt formatCode="General" sourceLinked="1"/>
        <c:majorTickMark val="none"/>
        <c:minorTickMark val="none"/>
        <c:tickLblPos val="nextTo"/>
        <c:spPr>
          <a:ln w="19080">
            <a:solidFill>
              <a:srgbClr val="203864"/>
            </a:solidFill>
            <a:round/>
          </a:ln>
        </c:spPr>
        <c:txPr>
          <a:bodyPr/>
          <a:lstStyle/>
          <a:p>
            <a:pPr>
              <a:defRPr b="1" sz="900" spc="-1" strike="noStrike">
                <a:solidFill>
                  <a:srgbClr val="000000"/>
                </a:solidFill>
                <a:latin typeface="Calibri"/>
              </a:defRPr>
            </a:pPr>
          </a:p>
        </c:txPr>
        <c:crossAx val="19712146"/>
        <c:crosses val="autoZero"/>
        <c:auto val="1"/>
        <c:lblAlgn val="ctr"/>
        <c:lblOffset val="100"/>
      </c:catAx>
      <c:valAx>
        <c:axId val="19712146"/>
        <c:scaling>
          <c:orientation val="minMax"/>
        </c:scaling>
        <c:delete val="1"/>
        <c:axPos val="l"/>
        <c:numFmt formatCode="_(\$* #,##0_);_(\$* \(#,##0\);_(\$* \-??_);_(@_)" sourceLinked="0"/>
        <c:majorTickMark val="none"/>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73805371"/>
        <c:crosses val="autoZero"/>
        <c:majorUnit val="1000000"/>
      </c:valAx>
      <c:spPr>
        <a:noFill/>
        <a:ln>
          <a:noFill/>
        </a:ln>
      </c:spPr>
    </c:plotArea>
    <c:plotVisOnly val="1"/>
    <c:dispBlanksAs val="gap"/>
  </c:chart>
  <c:spPr>
    <a:solidFill>
      <a:srgbClr val="ffffff"/>
    </a:solidFill>
    <a:ln w="9360">
      <a:solidFill>
        <a:srgbClr val="d9d9d9"/>
      </a:solidFill>
      <a:round/>
    </a:ln>
  </c:spPr>
</c:chartSpace>
</file>

<file path=xl/charts/chart6.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243550577053632"/>
          <c:y val="0.110984725381865"/>
          <c:w val="0.549049558723693"/>
          <c:h val="0.869028274293143"/>
        </c:manualLayout>
      </c:layout>
      <c:pieChart>
        <c:varyColors val="1"/>
        <c:ser>
          <c:idx val="0"/>
          <c:order val="0"/>
          <c:tx>
            <c:strRef>
              <c:f>'funds_national v district'!$B$3</c:f>
              <c:strCache>
                <c:ptCount val="1"/>
                <c:pt idx="0">
                  <c:v>Total activity costs</c:v>
                </c:pt>
              </c:strCache>
            </c:strRef>
          </c:tx>
          <c:spPr>
            <a:solidFill>
              <a:srgbClr val="5b9bd5"/>
            </a:solidFill>
            <a:ln>
              <a:solidFill>
                <a:srgbClr val="000000"/>
              </a:solidFill>
            </a:ln>
          </c:spPr>
          <c:explosion val="2"/>
          <c:dPt>
            <c:idx val="0"/>
            <c:explosion val="2"/>
            <c:spPr>
              <a:solidFill>
                <a:srgbClr val="5b9bd5"/>
              </a:solidFill>
              <a:ln>
                <a:solidFill>
                  <a:srgbClr val="000000"/>
                </a:solidFill>
              </a:ln>
            </c:spPr>
          </c:dPt>
          <c:dPt>
            <c:idx val="1"/>
            <c:explosion val="2"/>
            <c:spPr>
              <a:solidFill>
                <a:srgbClr val="ed7d31"/>
              </a:solidFill>
              <a:ln>
                <a:solidFill>
                  <a:srgbClr val="000000"/>
                </a:solidFill>
              </a:ln>
            </c:spPr>
          </c:dPt>
          <c:dPt>
            <c:idx val="2"/>
            <c:explosion val="2"/>
            <c:spPr>
              <a:solidFill>
                <a:srgbClr val="a5a5a5"/>
              </a:solidFill>
              <a:ln>
                <a:solidFill>
                  <a:srgbClr val="000000"/>
                </a:solidFill>
              </a:ln>
            </c:spPr>
          </c:dPt>
          <c:dLbls>
            <c:numFmt formatCode="_([$$-409]* #,##0_);_([$$-409]* \(#,##0\);_([$$-409]* \-??_);_(@_)" sourceLinked="1"/>
            <c:dLbl>
              <c:idx val="0"/>
              <c:dLblPos val="outEnd"/>
              <c:showLegendKey val="0"/>
              <c:showVal val="1"/>
              <c:showCatName val="1"/>
              <c:showSerName val="0"/>
              <c:showPercent val="1"/>
            </c:dLbl>
            <c:dLbl>
              <c:idx val="1"/>
              <c:dLblPos val="outEnd"/>
              <c:showLegendKey val="0"/>
              <c:showVal val="1"/>
              <c:showCatName val="1"/>
              <c:showSerName val="0"/>
              <c:showPercent val="1"/>
            </c:dLbl>
            <c:dLbl>
              <c:idx val="2"/>
              <c:dLblPos val="outEnd"/>
              <c:showLegendKey val="0"/>
              <c:showVal val="1"/>
              <c:showCatName val="1"/>
              <c:showSerName val="0"/>
              <c:showPercent val="1"/>
            </c:dLbl>
            <c:dLblPos val="outEnd"/>
            <c:showLegendKey val="0"/>
            <c:showVal val="1"/>
            <c:showCatName val="1"/>
            <c:showSerName val="0"/>
            <c:showPercent val="1"/>
            <c:showLeaderLines val="0"/>
          </c:dLbls>
          <c:cat>
            <c:strRef>
              <c:f>'funds_national v district'!$A$4:$A$6</c:f>
              <c:strCache>
                <c:ptCount val="3"/>
                <c:pt idx="0">
                  <c:v>District</c:v>
                </c:pt>
                <c:pt idx="1">
                  <c:v>National</c:v>
                </c:pt>
                <c:pt idx="2">
                  <c:v>Grand Total</c:v>
                </c:pt>
              </c:strCache>
            </c:strRef>
          </c:cat>
          <c:val>
            <c:numRef>
              <c:f>'funds_national v district'!$B$4:$B$6</c:f>
              <c:numCache>
                <c:formatCode>General</c:formatCode>
                <c:ptCount val="3"/>
                <c:pt idx="0">
                  <c:v>35780000</c:v>
                </c:pt>
                <c:pt idx="1">
                  <c:v>59390500</c:v>
                </c:pt>
                <c:pt idx="2">
                  <c:v>95170500</c:v>
                </c:pt>
              </c:numCache>
            </c:numRef>
          </c:val>
        </c:ser>
        <c:firstSliceAng val="0"/>
      </c:pieChart>
      <c:spPr>
        <a:noFill/>
        <a:ln>
          <a:noFill/>
        </a:ln>
      </c:spPr>
    </c:plotArea>
    <c:plotVisOnly val="1"/>
    <c:dispBlanksAs val="gap"/>
  </c:chart>
  <c:spPr>
    <a:solidFill>
      <a:srgbClr val="ffffff"/>
    </a:solidFill>
    <a:ln w="1260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1.xml"/>
</Relationships>
</file>

<file path=xl/drawings/_rels/drawing2.xml.rels><?xml version="1.0" encoding="UTF-8"?>
<Relationships xmlns="http://schemas.openxmlformats.org/package/2006/relationships"><Relationship Id="rId1" Type="http://schemas.openxmlformats.org/officeDocument/2006/relationships/chart" Target="../charts/chart2.xml"/>
</Relationships>
</file>

<file path=xl/drawings/_rels/drawing3.xml.rels><?xml version="1.0" encoding="UTF-8"?>
<Relationships xmlns="http://schemas.openxmlformats.org/package/2006/relationships"><Relationship Id="rId1" Type="http://schemas.openxmlformats.org/officeDocument/2006/relationships/chart" Target="../charts/chart3.xml"/>
</Relationships>
</file>

<file path=xl/drawings/_rels/drawing4.xml.rels><?xml version="1.0" encoding="UTF-8"?>
<Relationships xmlns="http://schemas.openxmlformats.org/package/2006/relationships"><Relationship Id="rId1" Type="http://schemas.openxmlformats.org/officeDocument/2006/relationships/hyperlink" Target="file:///home/codephillip/PycharmProjects/vc_dashboard/JAN2020-JUN2021%20UNEPI%20%20AWP_dummy%20data2.xlsm#&apos;Jan20-Jun21&apos;!A1"/><Relationship Id="rId2" Type="http://schemas.openxmlformats.org/officeDocument/2006/relationships/hyperlink" Target="file:///home/codephillip/PycharmProjects/vc_dashboard/JAN2020-JUN2021%20UNEPI%20%20AWP_dummy%20data2.xlsm#Budget_dashboard!A1"/><Relationship Id="rId3" Type="http://schemas.openxmlformats.org/officeDocument/2006/relationships/hyperlink" Target="file:///home/codephillip/PycharmProjects/vc_dashboard/JAN2020-JUN2021%20UNEPI%20%20AWP_dummy%20data2.xlsm#&apos;activity completion status&apos;!A1"/><Relationship Id="rId4" Type="http://schemas.openxmlformats.org/officeDocument/2006/relationships/image" Target="../media/image1.png"/>
</Relationships>
</file>

<file path=xl/drawings/_rels/drawing5.xml.rels><?xml version="1.0" encoding="UTF-8"?>
<Relationships xmlns="http://schemas.openxmlformats.org/package/2006/relationships"><Relationship Id="rId1" Type="http://schemas.openxmlformats.org/officeDocument/2006/relationships/hyperlink" Target="file:///home/codephillip/PycharmProjects/vc_dashboard/JAN2020-JUN2021%20UNEPI%20%20AWP_dummy%20data2.xlsm#Menu!A1"/>
</Relationships>
</file>

<file path=xl/drawings/_rels/drawing6.xml.rels><?xml version="1.0" encoding="UTF-8"?>
<Relationships xmlns="http://schemas.openxmlformats.org/package/2006/relationships"><Relationship Id="rId1" Type="http://schemas.openxmlformats.org/officeDocument/2006/relationships/chart" Target="../charts/chart4.xml"/><Relationship Id="rId2" Type="http://schemas.openxmlformats.org/officeDocument/2006/relationships/chart" Target="../charts/chart5.xml"/><Relationship Id="rId3" Type="http://schemas.openxmlformats.org/officeDocument/2006/relationships/image" Target="../media/image2.png"/><Relationship Id="rId4" Type="http://schemas.openxmlformats.org/officeDocument/2006/relationships/chart" Target="../charts/chart6.xml"/><Relationship Id="rId5" Type="http://schemas.openxmlformats.org/officeDocument/2006/relationships/hyperlink" Target="file:///home/codephillip/PycharmProjects/vc_dashboard/JAN2020-JUN2021%20UNEPI%20%20AWP_dummy%20data2.xlsm#Menu!A1"/>
</Relationships>
</file>

<file path=xl/drawings/_rels/drawing7.xml.rels><?xml version="1.0" encoding="UTF-8"?>
<Relationships xmlns="http://schemas.openxmlformats.org/package/2006/relationships"><Relationship Id="rId1" Type="http://schemas.openxmlformats.org/officeDocument/2006/relationships/hyperlink" Target="file:///home/codephillip/PycharmProjects/vc_dashboard/JAN2020-JUN2021%20UNEPI%20%20AWP_dummy%20data2.xlsm#Menu!A1"/>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289440</xdr:colOff>
      <xdr:row>1</xdr:row>
      <xdr:rowOff>141120</xdr:rowOff>
    </xdr:from>
    <xdr:to>
      <xdr:col>17</xdr:col>
      <xdr:colOff>65880</xdr:colOff>
      <xdr:row>16</xdr:row>
      <xdr:rowOff>138600</xdr:rowOff>
    </xdr:to>
    <xdr:graphicFrame>
      <xdr:nvGraphicFramePr>
        <xdr:cNvPr id="0" name="Chart 1"/>
        <xdr:cNvGraphicFramePr/>
      </xdr:nvGraphicFramePr>
      <xdr:xfrm>
        <a:off x="3668040" y="324000"/>
        <a:ext cx="9761760" cy="274068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1020960</xdr:colOff>
      <xdr:row>6</xdr:row>
      <xdr:rowOff>178920</xdr:rowOff>
    </xdr:from>
    <xdr:to>
      <xdr:col>5</xdr:col>
      <xdr:colOff>1384200</xdr:colOff>
      <xdr:row>21</xdr:row>
      <xdr:rowOff>176400</xdr:rowOff>
    </xdr:to>
    <xdr:graphicFrame>
      <xdr:nvGraphicFramePr>
        <xdr:cNvPr id="1" name="Chart 1"/>
        <xdr:cNvGraphicFramePr/>
      </xdr:nvGraphicFramePr>
      <xdr:xfrm>
        <a:off x="3243240" y="1276200"/>
        <a:ext cx="5815440" cy="274068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312480</xdr:colOff>
      <xdr:row>6</xdr:row>
      <xdr:rowOff>178920</xdr:rowOff>
    </xdr:from>
    <xdr:to>
      <xdr:col>10</xdr:col>
      <xdr:colOff>401400</xdr:colOff>
      <xdr:row>21</xdr:row>
      <xdr:rowOff>176400</xdr:rowOff>
    </xdr:to>
    <xdr:graphicFrame>
      <xdr:nvGraphicFramePr>
        <xdr:cNvPr id="2" name="Chart 1"/>
        <xdr:cNvGraphicFramePr/>
      </xdr:nvGraphicFramePr>
      <xdr:xfrm>
        <a:off x="3966840" y="1276200"/>
        <a:ext cx="5708520" cy="274068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23040</xdr:colOff>
      <xdr:row>10</xdr:row>
      <xdr:rowOff>99000</xdr:rowOff>
    </xdr:from>
    <xdr:to>
      <xdr:col>8</xdr:col>
      <xdr:colOff>172800</xdr:colOff>
      <xdr:row>15</xdr:row>
      <xdr:rowOff>5040</xdr:rowOff>
    </xdr:to>
    <xdr:sp>
      <xdr:nvSpPr>
        <xdr:cNvPr id="3" name="CustomShape 1">
          <a:hlinkClick r:id="rId1"/>
        </xdr:cNvPr>
        <xdr:cNvSpPr/>
      </xdr:nvSpPr>
      <xdr:spPr>
        <a:xfrm>
          <a:off x="3180240" y="1927800"/>
          <a:ext cx="3306960" cy="82044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2000" spc="-1" strike="noStrike">
              <a:solidFill>
                <a:srgbClr val="000000"/>
              </a:solidFill>
              <a:latin typeface="Calibri"/>
            </a:rPr>
            <a:t>Master Data Entry Sheet</a:t>
          </a:r>
          <a:endParaRPr b="0" lang="en-US" sz="2000" spc="-1" strike="noStrike">
            <a:latin typeface="Times New Roman"/>
          </a:endParaRPr>
        </a:p>
      </xdr:txBody>
    </xdr:sp>
    <xdr:clientData/>
  </xdr:twoCellAnchor>
  <xdr:twoCellAnchor editAs="oneCell">
    <xdr:from>
      <xdr:col>10</xdr:col>
      <xdr:colOff>380880</xdr:colOff>
      <xdr:row>10</xdr:row>
      <xdr:rowOff>114480</xdr:rowOff>
    </xdr:from>
    <xdr:to>
      <xdr:col>14</xdr:col>
      <xdr:colOff>530640</xdr:colOff>
      <xdr:row>15</xdr:row>
      <xdr:rowOff>20520</xdr:rowOff>
    </xdr:to>
    <xdr:sp>
      <xdr:nvSpPr>
        <xdr:cNvPr id="4" name="CustomShape 1">
          <a:hlinkClick r:id="rId2"/>
        </xdr:cNvPr>
        <xdr:cNvSpPr/>
      </xdr:nvSpPr>
      <xdr:spPr>
        <a:xfrm>
          <a:off x="8273880" y="1943280"/>
          <a:ext cx="3306960" cy="82044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2000" spc="-1" strike="noStrike">
              <a:solidFill>
                <a:srgbClr val="000000"/>
              </a:solidFill>
              <a:latin typeface="Calibri"/>
            </a:rPr>
            <a:t>Budget Dashboard</a:t>
          </a:r>
          <a:endParaRPr b="0" lang="en-US" sz="2000" spc="-1" strike="noStrike">
            <a:latin typeface="Times New Roman"/>
          </a:endParaRPr>
        </a:p>
      </xdr:txBody>
    </xdr:sp>
    <xdr:clientData/>
  </xdr:twoCellAnchor>
  <xdr:twoCellAnchor editAs="oneCell">
    <xdr:from>
      <xdr:col>16</xdr:col>
      <xdr:colOff>0</xdr:colOff>
      <xdr:row>10</xdr:row>
      <xdr:rowOff>91440</xdr:rowOff>
    </xdr:from>
    <xdr:to>
      <xdr:col>21</xdr:col>
      <xdr:colOff>5040</xdr:colOff>
      <xdr:row>14</xdr:row>
      <xdr:rowOff>134640</xdr:rowOff>
    </xdr:to>
    <xdr:sp>
      <xdr:nvSpPr>
        <xdr:cNvPr id="5" name="CustomShape 1">
          <a:hlinkClick r:id="rId3"/>
        </xdr:cNvPr>
        <xdr:cNvSpPr/>
      </xdr:nvSpPr>
      <xdr:spPr>
        <a:xfrm>
          <a:off x="12628800" y="1920240"/>
          <a:ext cx="3951360" cy="77472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900" spc="-1" strike="noStrike">
              <a:solidFill>
                <a:srgbClr val="000000"/>
              </a:solidFill>
              <a:latin typeface="Calibri"/>
            </a:rPr>
            <a:t>Activity completion status Dashboard</a:t>
          </a:r>
          <a:endParaRPr b="0" lang="en-US" sz="1900" spc="-1" strike="noStrike">
            <a:latin typeface="Times New Roman"/>
          </a:endParaRPr>
        </a:p>
      </xdr:txBody>
    </xdr:sp>
    <xdr:clientData/>
  </xdr:twoCellAnchor>
  <xdr:twoCellAnchor editAs="oneCell">
    <xdr:from>
      <xdr:col>10</xdr:col>
      <xdr:colOff>548640</xdr:colOff>
      <xdr:row>17</xdr:row>
      <xdr:rowOff>106560</xdr:rowOff>
    </xdr:from>
    <xdr:to>
      <xdr:col>14</xdr:col>
      <xdr:colOff>414360</xdr:colOff>
      <xdr:row>28</xdr:row>
      <xdr:rowOff>20160</xdr:rowOff>
    </xdr:to>
    <xdr:pic>
      <xdr:nvPicPr>
        <xdr:cNvPr id="6" name="Picture 4" descr=""/>
        <xdr:cNvPicPr/>
      </xdr:nvPicPr>
      <xdr:blipFill>
        <a:blip r:embed="rId4"/>
        <a:stretch/>
      </xdr:blipFill>
      <xdr:spPr>
        <a:xfrm>
          <a:off x="8441640" y="3215520"/>
          <a:ext cx="3022920" cy="1925280"/>
        </a:xfrm>
        <a:prstGeom prst="rect">
          <a:avLst/>
        </a:prstGeom>
        <a:ln w="19080">
          <a:solidFill>
            <a:srgbClr val="000000"/>
          </a:solidFill>
          <a:round/>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279360</xdr:colOff>
      <xdr:row>0</xdr:row>
      <xdr:rowOff>276840</xdr:rowOff>
    </xdr:from>
    <xdr:to>
      <xdr:col>2</xdr:col>
      <xdr:colOff>1436760</xdr:colOff>
      <xdr:row>1</xdr:row>
      <xdr:rowOff>149040</xdr:rowOff>
    </xdr:to>
    <xdr:sp>
      <xdr:nvSpPr>
        <xdr:cNvPr id="7" name="CustomShape 1"/>
        <xdr:cNvSpPr/>
      </xdr:nvSpPr>
      <xdr:spPr>
        <a:xfrm>
          <a:off x="279360" y="276840"/>
          <a:ext cx="2944800" cy="344520"/>
        </a:xfrm>
        <a:prstGeom prst="roundRect">
          <a:avLst>
            <a:gd name="adj" fmla="val 16667"/>
          </a:avLst>
        </a:prstGeom>
        <a:solidFill>
          <a:srgbClr val="c0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2400" spc="-1" strike="noStrike">
              <a:solidFill>
                <a:srgbClr val="ffffff"/>
              </a:solidFill>
              <a:latin typeface="Calibri"/>
            </a:rPr>
            <a:t>BACK TO MENU</a:t>
          </a:r>
          <a:endParaRPr b="0" lang="en-US" sz="2400" spc="-1" strike="noStrike">
            <a:latin typeface="Times New Roman"/>
          </a:endParaRPr>
        </a:p>
      </xdr:txBody>
    </xdr:sp>
    <xdr:clientData/>
  </xdr:twoCellAnchor>
  <xdr:twoCellAnchor editAs="oneCell">
    <xdr:from>
      <xdr:col>0</xdr:col>
      <xdr:colOff>282600</xdr:colOff>
      <xdr:row>0</xdr:row>
      <xdr:rowOff>101520</xdr:rowOff>
    </xdr:from>
    <xdr:to>
      <xdr:col>2</xdr:col>
      <xdr:colOff>1477800</xdr:colOff>
      <xdr:row>0</xdr:row>
      <xdr:rowOff>447480</xdr:rowOff>
    </xdr:to>
    <xdr:sp>
      <xdr:nvSpPr>
        <xdr:cNvPr id="8" name="CustomShape 1">
          <a:hlinkClick r:id="rId1"/>
        </xdr:cNvPr>
        <xdr:cNvSpPr/>
      </xdr:nvSpPr>
      <xdr:spPr>
        <a:xfrm>
          <a:off x="282600" y="101520"/>
          <a:ext cx="2982600" cy="345960"/>
        </a:xfrm>
        <a:prstGeom prst="roundRect">
          <a:avLst>
            <a:gd name="adj" fmla="val 16667"/>
          </a:avLst>
        </a:prstGeom>
        <a:solidFill>
          <a:srgbClr val="c0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2400" spc="-1" strike="noStrike">
              <a:solidFill>
                <a:srgbClr val="ffffff"/>
              </a:solidFill>
              <a:latin typeface="Calibri"/>
            </a:rPr>
            <a:t>BACK TO MENU</a:t>
          </a:r>
          <a:endParaRPr b="0" lang="en-US" sz="2400" spc="-1" strike="noStrike">
            <a:latin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1631880</xdr:colOff>
      <xdr:row>14</xdr:row>
      <xdr:rowOff>59760</xdr:rowOff>
    </xdr:from>
    <xdr:to>
      <xdr:col>4</xdr:col>
      <xdr:colOff>509400</xdr:colOff>
      <xdr:row>31</xdr:row>
      <xdr:rowOff>34560</xdr:rowOff>
    </xdr:to>
    <xdr:graphicFrame>
      <xdr:nvGraphicFramePr>
        <xdr:cNvPr id="9" name="Chart 3"/>
        <xdr:cNvGraphicFramePr/>
      </xdr:nvGraphicFramePr>
      <xdr:xfrm>
        <a:off x="5208120" y="2315160"/>
        <a:ext cx="3776400" cy="309888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556200</xdr:colOff>
      <xdr:row>14</xdr:row>
      <xdr:rowOff>68760</xdr:rowOff>
    </xdr:from>
    <xdr:to>
      <xdr:col>7</xdr:col>
      <xdr:colOff>2595960</xdr:colOff>
      <xdr:row>31</xdr:row>
      <xdr:rowOff>66240</xdr:rowOff>
    </xdr:to>
    <xdr:graphicFrame>
      <xdr:nvGraphicFramePr>
        <xdr:cNvPr id="10" name="Chart 4"/>
        <xdr:cNvGraphicFramePr/>
      </xdr:nvGraphicFramePr>
      <xdr:xfrm>
        <a:off x="9031320" y="2324160"/>
        <a:ext cx="3550320" cy="31215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76320</xdr:colOff>
      <xdr:row>21</xdr:row>
      <xdr:rowOff>45720</xdr:rowOff>
    </xdr:from>
    <xdr:to>
      <xdr:col>1</xdr:col>
      <xdr:colOff>2420640</xdr:colOff>
      <xdr:row>30</xdr:row>
      <xdr:rowOff>104040</xdr:rowOff>
    </xdr:to>
    <xdr:sp>
      <xdr:nvSpPr>
        <xdr:cNvPr id="11" name="CustomShape 1"/>
        <xdr:cNvSpPr/>
      </xdr:nvSpPr>
      <xdr:spPr>
        <a:xfrm>
          <a:off x="76320" y="3596400"/>
          <a:ext cx="2641320" cy="17042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p>
          <a:pPr>
            <a:lnSpc>
              <a:spcPct val="100000"/>
            </a:lnSpc>
          </a:pPr>
          <a:r>
            <a:rPr b="0" lang="en-US" sz="1100" spc="-1" strike="noStrike">
              <a:latin typeface="Times New Roman"/>
            </a:rPr>
            <a:t>This shape represents a slicer. Slicers are supported in Excel 2010 or later.</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latin typeface="Times New Roman"/>
            </a:rPr>
            <a:t>If the shape was modified in an earlier version of Excel, or if the workbook was saved in Excel 2003 or earlier, the slicer cannot be used.</a:t>
          </a:r>
          <a:endParaRPr b="0" lang="en-US" sz="1100" spc="-1" strike="noStrike">
            <a:latin typeface="Times New Roman"/>
          </a:endParaRPr>
        </a:p>
      </xdr:txBody>
    </xdr:sp>
    <xdr:clientData/>
  </xdr:twoCellAnchor>
  <xdr:twoCellAnchor editAs="oneCell">
    <xdr:from>
      <xdr:col>1</xdr:col>
      <xdr:colOff>807840</xdr:colOff>
      <xdr:row>16</xdr:row>
      <xdr:rowOff>53280</xdr:rowOff>
    </xdr:from>
    <xdr:to>
      <xdr:col>1</xdr:col>
      <xdr:colOff>2413080</xdr:colOff>
      <xdr:row>20</xdr:row>
      <xdr:rowOff>157320</xdr:rowOff>
    </xdr:to>
    <xdr:sp>
      <xdr:nvSpPr>
        <xdr:cNvPr id="12" name="CustomShape 1"/>
        <xdr:cNvSpPr/>
      </xdr:nvSpPr>
      <xdr:spPr>
        <a:xfrm>
          <a:off x="1104840" y="2674440"/>
          <a:ext cx="1605240" cy="850680"/>
        </a:xfrm>
        <a:prstGeom prst="rect">
          <a:avLst/>
        </a:prstGeom>
        <a:solidFill>
          <a:srgbClr val="ffffff"/>
        </a:solidFill>
        <a:ln>
          <a:solidFill>
            <a:srgbClr val="008000"/>
          </a:solidFill>
        </a:ln>
      </xdr:spPr>
      <xdr:style>
        <a:lnRef idx="0"/>
        <a:fillRef idx="0"/>
        <a:effectRef idx="0"/>
        <a:fontRef idx="minor"/>
      </xdr:style>
      <xdr:txBody>
        <a:bodyPr lIns="90000" rIns="90000" tIns="45000" bIns="45000"/>
        <a:p>
          <a:pPr>
            <a:lnSpc>
              <a:spcPct val="100000"/>
            </a:lnSpc>
          </a:pPr>
          <a:r>
            <a:rPr b="0" lang="en-US" sz="1100" spc="-1" strike="noStrike">
              <a:latin typeface="Times New Roman"/>
            </a:rPr>
            <a:t>This shape represents a slicer. Slicers are supported in Excel 2010 or later.</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latin typeface="Times New Roman"/>
            </a:rPr>
            <a:t>If the shape was modified in an earlier version of Excel, or if the workbook was saved in Excel 2003 or earlier, the slicer cannot be used.</a:t>
          </a:r>
          <a:endParaRPr b="0" lang="en-US" sz="1100" spc="-1" strike="noStrike">
            <a:latin typeface="Times New Roman"/>
          </a:endParaRPr>
        </a:p>
      </xdr:txBody>
    </xdr:sp>
    <xdr:clientData/>
  </xdr:twoCellAnchor>
  <xdr:twoCellAnchor editAs="oneCell">
    <xdr:from>
      <xdr:col>1</xdr:col>
      <xdr:colOff>822960</xdr:colOff>
      <xdr:row>8</xdr:row>
      <xdr:rowOff>91440</xdr:rowOff>
    </xdr:from>
    <xdr:to>
      <xdr:col>1</xdr:col>
      <xdr:colOff>2413080</xdr:colOff>
      <xdr:row>16</xdr:row>
      <xdr:rowOff>12600</xdr:rowOff>
    </xdr:to>
    <xdr:sp>
      <xdr:nvSpPr>
        <xdr:cNvPr id="13" name="CustomShape 1"/>
        <xdr:cNvSpPr/>
      </xdr:nvSpPr>
      <xdr:spPr>
        <a:xfrm>
          <a:off x="1119960" y="1249560"/>
          <a:ext cx="1590120" cy="1384200"/>
        </a:xfrm>
        <a:prstGeom prst="rect">
          <a:avLst/>
        </a:prstGeom>
        <a:solidFill>
          <a:srgbClr val="ffffff"/>
        </a:solidFill>
        <a:ln>
          <a:solidFill>
            <a:srgbClr val="008000"/>
          </a:solidFill>
        </a:ln>
      </xdr:spPr>
      <xdr:style>
        <a:lnRef idx="0"/>
        <a:fillRef idx="0"/>
        <a:effectRef idx="0"/>
        <a:fontRef idx="minor"/>
      </xdr:style>
      <xdr:txBody>
        <a:bodyPr lIns="90000" rIns="90000" tIns="45000" bIns="45000"/>
        <a:p>
          <a:pPr>
            <a:lnSpc>
              <a:spcPct val="100000"/>
            </a:lnSpc>
          </a:pPr>
          <a:r>
            <a:rPr b="0" lang="en-US" sz="1100" spc="-1" strike="noStrike">
              <a:latin typeface="Times New Roman"/>
            </a:rPr>
            <a:t>This shape represents a slicer. Slicers are supported in Excel 2010 or later.</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latin typeface="Times New Roman"/>
            </a:rPr>
            <a:t>If the shape was modified in an earlier version of Excel, or if the workbook was saved in Excel 2003 or earlier, the slicer cannot be used.</a:t>
          </a:r>
          <a:endParaRPr b="0" lang="en-US" sz="1100" spc="-1" strike="noStrike">
            <a:latin typeface="Times New Roman"/>
          </a:endParaRPr>
        </a:p>
      </xdr:txBody>
    </xdr:sp>
    <xdr:clientData/>
  </xdr:twoCellAnchor>
  <xdr:twoCellAnchor editAs="oneCell">
    <xdr:from>
      <xdr:col>1</xdr:col>
      <xdr:colOff>835560</xdr:colOff>
      <xdr:row>0</xdr:row>
      <xdr:rowOff>45720</xdr:rowOff>
    </xdr:from>
    <xdr:to>
      <xdr:col>1</xdr:col>
      <xdr:colOff>2413080</xdr:colOff>
      <xdr:row>8</xdr:row>
      <xdr:rowOff>28080</xdr:rowOff>
    </xdr:to>
    <xdr:pic>
      <xdr:nvPicPr>
        <xdr:cNvPr id="14" name="Picture 8" descr=""/>
        <xdr:cNvPicPr/>
      </xdr:nvPicPr>
      <xdr:blipFill>
        <a:blip r:embed="rId3"/>
        <a:stretch/>
      </xdr:blipFill>
      <xdr:spPr>
        <a:xfrm>
          <a:off x="1132560" y="45720"/>
          <a:ext cx="1577520" cy="1140480"/>
        </a:xfrm>
        <a:prstGeom prst="rect">
          <a:avLst/>
        </a:prstGeom>
        <a:ln w="19080">
          <a:solidFill>
            <a:srgbClr val="000000"/>
          </a:solidFill>
          <a:round/>
        </a:ln>
      </xdr:spPr>
    </xdr:pic>
    <xdr:clientData/>
  </xdr:twoCellAnchor>
  <xdr:twoCellAnchor editAs="oneCell">
    <xdr:from>
      <xdr:col>1</xdr:col>
      <xdr:colOff>2514600</xdr:colOff>
      <xdr:row>14</xdr:row>
      <xdr:rowOff>53280</xdr:rowOff>
    </xdr:from>
    <xdr:to>
      <xdr:col>2</xdr:col>
      <xdr:colOff>1605240</xdr:colOff>
      <xdr:row>16</xdr:row>
      <xdr:rowOff>172800</xdr:rowOff>
    </xdr:to>
    <xdr:sp>
      <xdr:nvSpPr>
        <xdr:cNvPr id="15" name="CustomShape 1"/>
        <xdr:cNvSpPr/>
      </xdr:nvSpPr>
      <xdr:spPr>
        <a:xfrm>
          <a:off x="2811600" y="2308680"/>
          <a:ext cx="2369880" cy="485280"/>
        </a:xfrm>
        <a:prstGeom prst="rect">
          <a:avLst/>
        </a:prstGeom>
        <a:solidFill>
          <a:srgbClr val="00ffff"/>
        </a:solidFill>
        <a:ln w="9360">
          <a:solidFill>
            <a:srgbClr val="ffffff"/>
          </a:solidFill>
          <a:round/>
        </a:ln>
      </xdr:spPr>
      <xdr:style>
        <a:lnRef idx="0"/>
        <a:fillRef idx="0"/>
        <a:effectRef idx="0"/>
        <a:fontRef idx="minor"/>
      </xdr:style>
      <xdr:txBody>
        <a:bodyPr lIns="90000" rIns="90000" tIns="45000" bIns="45000"/>
        <a:p>
          <a:pPr algn="ctr">
            <a:lnSpc>
              <a:spcPct val="100000"/>
            </a:lnSpc>
          </a:pPr>
          <a:r>
            <a:rPr b="1" lang="en-US" sz="1200" spc="-1" strike="noStrike">
              <a:solidFill>
                <a:srgbClr val="000000"/>
              </a:solidFill>
              <a:latin typeface="Calibri"/>
            </a:rPr>
            <a:t># of planned activities per quarter: 2020</a:t>
          </a:r>
          <a:endParaRPr b="0" lang="en-US" sz="1200" spc="-1" strike="noStrike">
            <a:latin typeface="Times New Roman"/>
          </a:endParaRPr>
        </a:p>
      </xdr:txBody>
    </xdr:sp>
    <xdr:clientData/>
  </xdr:twoCellAnchor>
  <xdr:twoCellAnchor editAs="oneCell">
    <xdr:from>
      <xdr:col>2</xdr:col>
      <xdr:colOff>510480</xdr:colOff>
      <xdr:row>17</xdr:row>
      <xdr:rowOff>45720</xdr:rowOff>
    </xdr:from>
    <xdr:to>
      <xdr:col>2</xdr:col>
      <xdr:colOff>1285200</xdr:colOff>
      <xdr:row>18</xdr:row>
      <xdr:rowOff>100080</xdr:rowOff>
    </xdr:to>
    <xdr:sp>
      <xdr:nvSpPr>
        <xdr:cNvPr id="16" name="CustomShape 1"/>
        <xdr:cNvSpPr/>
      </xdr:nvSpPr>
      <xdr:spPr>
        <a:xfrm>
          <a:off x="4086720" y="2857320"/>
          <a:ext cx="774720" cy="23724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100" spc="-1" strike="noStrike">
              <a:solidFill>
                <a:srgbClr val="000000"/>
              </a:solidFill>
              <a:latin typeface="Calibri"/>
            </a:rPr>
            <a:t>31</a:t>
          </a:r>
          <a:endParaRPr b="0" lang="en-US" sz="1100" spc="-1" strike="noStrike">
            <a:latin typeface="Times New Roman"/>
          </a:endParaRPr>
        </a:p>
      </xdr:txBody>
    </xdr:sp>
    <xdr:clientData/>
  </xdr:twoCellAnchor>
  <xdr:twoCellAnchor editAs="oneCell">
    <xdr:from>
      <xdr:col>2</xdr:col>
      <xdr:colOff>30600</xdr:colOff>
      <xdr:row>17</xdr:row>
      <xdr:rowOff>15120</xdr:rowOff>
    </xdr:from>
    <xdr:to>
      <xdr:col>2</xdr:col>
      <xdr:colOff>591840</xdr:colOff>
      <xdr:row>18</xdr:row>
      <xdr:rowOff>111600</xdr:rowOff>
    </xdr:to>
    <xdr:sp>
      <xdr:nvSpPr>
        <xdr:cNvPr id="17" name="CustomShape 1"/>
        <xdr:cNvSpPr/>
      </xdr:nvSpPr>
      <xdr:spPr>
        <a:xfrm>
          <a:off x="3606840" y="2826720"/>
          <a:ext cx="561240" cy="27936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400" spc="-1" strike="noStrike">
              <a:solidFill>
                <a:srgbClr val="2f5597"/>
              </a:solidFill>
              <a:latin typeface="Calibri"/>
            </a:rPr>
            <a:t>Q1</a:t>
          </a:r>
          <a:endParaRPr b="0" lang="en-US" sz="1400" spc="-1" strike="noStrike">
            <a:latin typeface="Times New Roman"/>
          </a:endParaRPr>
        </a:p>
      </xdr:txBody>
    </xdr:sp>
    <xdr:clientData/>
  </xdr:twoCellAnchor>
  <xdr:twoCellAnchor editAs="oneCell">
    <xdr:from>
      <xdr:col>2</xdr:col>
      <xdr:colOff>518040</xdr:colOff>
      <xdr:row>18</xdr:row>
      <xdr:rowOff>164160</xdr:rowOff>
    </xdr:from>
    <xdr:to>
      <xdr:col>2</xdr:col>
      <xdr:colOff>1292760</xdr:colOff>
      <xdr:row>20</xdr:row>
      <xdr:rowOff>33480</xdr:rowOff>
    </xdr:to>
    <xdr:sp>
      <xdr:nvSpPr>
        <xdr:cNvPr id="18" name="CustomShape 1"/>
        <xdr:cNvSpPr/>
      </xdr:nvSpPr>
      <xdr:spPr>
        <a:xfrm>
          <a:off x="4094280" y="3158640"/>
          <a:ext cx="774720" cy="24264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100" spc="-1" strike="noStrike">
              <a:solidFill>
                <a:srgbClr val="000000"/>
              </a:solidFill>
              <a:latin typeface="Calibri"/>
            </a:rPr>
            <a:t>47</a:t>
          </a:r>
          <a:endParaRPr b="0" lang="en-US" sz="1100" spc="-1" strike="noStrike">
            <a:latin typeface="Times New Roman"/>
          </a:endParaRPr>
        </a:p>
      </xdr:txBody>
    </xdr:sp>
    <xdr:clientData/>
  </xdr:twoCellAnchor>
  <xdr:twoCellAnchor editAs="oneCell">
    <xdr:from>
      <xdr:col>2</xdr:col>
      <xdr:colOff>502920</xdr:colOff>
      <xdr:row>20</xdr:row>
      <xdr:rowOff>106560</xdr:rowOff>
    </xdr:from>
    <xdr:to>
      <xdr:col>2</xdr:col>
      <xdr:colOff>1277640</xdr:colOff>
      <xdr:row>21</xdr:row>
      <xdr:rowOff>170640</xdr:rowOff>
    </xdr:to>
    <xdr:sp>
      <xdr:nvSpPr>
        <xdr:cNvPr id="19" name="CustomShape 1"/>
        <xdr:cNvSpPr/>
      </xdr:nvSpPr>
      <xdr:spPr>
        <a:xfrm>
          <a:off x="4079160" y="3474360"/>
          <a:ext cx="774720" cy="24696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100" spc="-1" strike="noStrike">
              <a:solidFill>
                <a:srgbClr val="000000"/>
              </a:solidFill>
              <a:latin typeface="Calibri"/>
            </a:rPr>
            <a:t>43</a:t>
          </a:r>
          <a:endParaRPr b="0" lang="en-US" sz="1100" spc="-1" strike="noStrike">
            <a:latin typeface="Times New Roman"/>
          </a:endParaRPr>
        </a:p>
      </xdr:txBody>
    </xdr:sp>
    <xdr:clientData/>
  </xdr:twoCellAnchor>
  <xdr:twoCellAnchor editAs="oneCell">
    <xdr:from>
      <xdr:col>2</xdr:col>
      <xdr:colOff>502920</xdr:colOff>
      <xdr:row>22</xdr:row>
      <xdr:rowOff>68760</xdr:rowOff>
    </xdr:from>
    <xdr:to>
      <xdr:col>2</xdr:col>
      <xdr:colOff>1277640</xdr:colOff>
      <xdr:row>23</xdr:row>
      <xdr:rowOff>132840</xdr:rowOff>
    </xdr:to>
    <xdr:sp>
      <xdr:nvSpPr>
        <xdr:cNvPr id="20" name="CustomShape 1"/>
        <xdr:cNvSpPr/>
      </xdr:nvSpPr>
      <xdr:spPr>
        <a:xfrm>
          <a:off x="4079160" y="3802320"/>
          <a:ext cx="774720" cy="24696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100" spc="-1" strike="noStrike">
              <a:solidFill>
                <a:srgbClr val="000000"/>
              </a:solidFill>
              <a:latin typeface="Calibri"/>
            </a:rPr>
            <a:t>44</a:t>
          </a:r>
          <a:endParaRPr b="0" lang="en-US" sz="1100" spc="-1" strike="noStrike">
            <a:latin typeface="Times New Roman"/>
          </a:endParaRPr>
        </a:p>
      </xdr:txBody>
    </xdr:sp>
    <xdr:clientData/>
  </xdr:twoCellAnchor>
  <xdr:twoCellAnchor editAs="oneCell">
    <xdr:from>
      <xdr:col>2</xdr:col>
      <xdr:colOff>23040</xdr:colOff>
      <xdr:row>18</xdr:row>
      <xdr:rowOff>122040</xdr:rowOff>
    </xdr:from>
    <xdr:to>
      <xdr:col>2</xdr:col>
      <xdr:colOff>614880</xdr:colOff>
      <xdr:row>20</xdr:row>
      <xdr:rowOff>58680</xdr:rowOff>
    </xdr:to>
    <xdr:sp>
      <xdr:nvSpPr>
        <xdr:cNvPr id="21" name="CustomShape 1"/>
        <xdr:cNvSpPr/>
      </xdr:nvSpPr>
      <xdr:spPr>
        <a:xfrm>
          <a:off x="3599280" y="3116520"/>
          <a:ext cx="591840" cy="30996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nSpc>
              <a:spcPct val="100000"/>
            </a:lnSpc>
          </a:pPr>
          <a:r>
            <a:rPr b="1" lang="en-US" sz="1400" spc="-1" strike="noStrike">
              <a:solidFill>
                <a:srgbClr val="2f5597"/>
              </a:solidFill>
              <a:latin typeface="Calibri"/>
            </a:rPr>
            <a:t>Q2</a:t>
          </a:r>
          <a:endParaRPr b="0" lang="en-US" sz="1400" spc="-1" strike="noStrike">
            <a:latin typeface="Times New Roman"/>
          </a:endParaRPr>
        </a:p>
      </xdr:txBody>
    </xdr:sp>
    <xdr:clientData/>
  </xdr:twoCellAnchor>
  <xdr:twoCellAnchor editAs="oneCell">
    <xdr:from>
      <xdr:col>2</xdr:col>
      <xdr:colOff>23040</xdr:colOff>
      <xdr:row>20</xdr:row>
      <xdr:rowOff>60840</xdr:rowOff>
    </xdr:from>
    <xdr:to>
      <xdr:col>2</xdr:col>
      <xdr:colOff>599760</xdr:colOff>
      <xdr:row>22</xdr:row>
      <xdr:rowOff>12600</xdr:rowOff>
    </xdr:to>
    <xdr:sp>
      <xdr:nvSpPr>
        <xdr:cNvPr id="22" name="CustomShape 1"/>
        <xdr:cNvSpPr/>
      </xdr:nvSpPr>
      <xdr:spPr>
        <a:xfrm>
          <a:off x="3599280" y="3428640"/>
          <a:ext cx="576720" cy="31752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400" spc="-1" strike="noStrike">
              <a:solidFill>
                <a:srgbClr val="2f5597"/>
              </a:solidFill>
              <a:latin typeface="Calibri"/>
            </a:rPr>
            <a:t>Q3</a:t>
          </a:r>
          <a:endParaRPr b="0" lang="en-US" sz="1400" spc="-1" strike="noStrike">
            <a:latin typeface="Times New Roman"/>
          </a:endParaRPr>
        </a:p>
      </xdr:txBody>
    </xdr:sp>
    <xdr:clientData/>
  </xdr:twoCellAnchor>
  <xdr:twoCellAnchor editAs="oneCell">
    <xdr:from>
      <xdr:col>2</xdr:col>
      <xdr:colOff>30600</xdr:colOff>
      <xdr:row>22</xdr:row>
      <xdr:rowOff>23040</xdr:rowOff>
    </xdr:from>
    <xdr:to>
      <xdr:col>2</xdr:col>
      <xdr:colOff>630000</xdr:colOff>
      <xdr:row>23</xdr:row>
      <xdr:rowOff>157680</xdr:rowOff>
    </xdr:to>
    <xdr:sp>
      <xdr:nvSpPr>
        <xdr:cNvPr id="23" name="CustomShape 1"/>
        <xdr:cNvSpPr/>
      </xdr:nvSpPr>
      <xdr:spPr>
        <a:xfrm>
          <a:off x="3606840" y="3756600"/>
          <a:ext cx="599400" cy="31752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400" spc="-1" strike="noStrike">
              <a:solidFill>
                <a:srgbClr val="2f5597"/>
              </a:solidFill>
              <a:latin typeface="Calibri"/>
            </a:rPr>
            <a:t>Q4</a:t>
          </a:r>
          <a:endParaRPr b="0" lang="en-US" sz="1400" spc="-1" strike="noStrike">
            <a:latin typeface="Times New Roman"/>
          </a:endParaRPr>
        </a:p>
      </xdr:txBody>
    </xdr:sp>
    <xdr:clientData/>
  </xdr:twoCellAnchor>
  <xdr:twoCellAnchor editAs="oneCell">
    <xdr:from>
      <xdr:col>2</xdr:col>
      <xdr:colOff>556200</xdr:colOff>
      <xdr:row>27</xdr:row>
      <xdr:rowOff>38160</xdr:rowOff>
    </xdr:from>
    <xdr:to>
      <xdr:col>2</xdr:col>
      <xdr:colOff>1330920</xdr:colOff>
      <xdr:row>28</xdr:row>
      <xdr:rowOff>150120</xdr:rowOff>
    </xdr:to>
    <xdr:sp>
      <xdr:nvSpPr>
        <xdr:cNvPr id="24" name="CustomShape 1"/>
        <xdr:cNvSpPr/>
      </xdr:nvSpPr>
      <xdr:spPr>
        <a:xfrm>
          <a:off x="4132440" y="4686120"/>
          <a:ext cx="774720" cy="29484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100" spc="-1" strike="noStrike">
              <a:solidFill>
                <a:srgbClr val="000000"/>
              </a:solidFill>
              <a:latin typeface="Calibri"/>
            </a:rPr>
            <a:t>22</a:t>
          </a:r>
          <a:endParaRPr b="0" lang="en-US" sz="1100" spc="-1" strike="noStrike">
            <a:latin typeface="Times New Roman"/>
          </a:endParaRPr>
        </a:p>
      </xdr:txBody>
    </xdr:sp>
    <xdr:clientData/>
  </xdr:twoCellAnchor>
  <xdr:twoCellAnchor editAs="oneCell">
    <xdr:from>
      <xdr:col>2</xdr:col>
      <xdr:colOff>68760</xdr:colOff>
      <xdr:row>26</xdr:row>
      <xdr:rowOff>167760</xdr:rowOff>
    </xdr:from>
    <xdr:to>
      <xdr:col>2</xdr:col>
      <xdr:colOff>645480</xdr:colOff>
      <xdr:row>28</xdr:row>
      <xdr:rowOff>180360</xdr:rowOff>
    </xdr:to>
    <xdr:sp>
      <xdr:nvSpPr>
        <xdr:cNvPr id="25" name="CustomShape 1"/>
        <xdr:cNvSpPr/>
      </xdr:nvSpPr>
      <xdr:spPr>
        <a:xfrm>
          <a:off x="3645000" y="4632840"/>
          <a:ext cx="576720" cy="37836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400" spc="-1" strike="noStrike">
              <a:solidFill>
                <a:srgbClr val="2f5597"/>
              </a:solidFill>
              <a:latin typeface="Calibri"/>
            </a:rPr>
            <a:t>Q1</a:t>
          </a:r>
          <a:endParaRPr b="0" lang="en-US" sz="1400" spc="-1" strike="noStrike">
            <a:latin typeface="Times New Roman"/>
          </a:endParaRPr>
        </a:p>
      </xdr:txBody>
    </xdr:sp>
    <xdr:clientData/>
  </xdr:twoCellAnchor>
  <xdr:twoCellAnchor editAs="oneCell">
    <xdr:from>
      <xdr:col>2</xdr:col>
      <xdr:colOff>556200</xdr:colOff>
      <xdr:row>29</xdr:row>
      <xdr:rowOff>38160</xdr:rowOff>
    </xdr:from>
    <xdr:to>
      <xdr:col>2</xdr:col>
      <xdr:colOff>1330920</xdr:colOff>
      <xdr:row>30</xdr:row>
      <xdr:rowOff>150120</xdr:rowOff>
    </xdr:to>
    <xdr:sp>
      <xdr:nvSpPr>
        <xdr:cNvPr id="26" name="CustomShape 1"/>
        <xdr:cNvSpPr/>
      </xdr:nvSpPr>
      <xdr:spPr>
        <a:xfrm>
          <a:off x="4132440" y="5051880"/>
          <a:ext cx="774720" cy="29484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100" spc="-1" strike="noStrike">
              <a:solidFill>
                <a:srgbClr val="000000"/>
              </a:solidFill>
              <a:latin typeface="Calibri"/>
            </a:rPr>
            <a:t>24</a:t>
          </a:r>
          <a:endParaRPr b="0" lang="en-US" sz="1100" spc="-1" strike="noStrike">
            <a:latin typeface="Times New Roman"/>
          </a:endParaRPr>
        </a:p>
      </xdr:txBody>
    </xdr:sp>
    <xdr:clientData/>
  </xdr:twoCellAnchor>
  <xdr:twoCellAnchor editAs="oneCell">
    <xdr:from>
      <xdr:col>2</xdr:col>
      <xdr:colOff>60840</xdr:colOff>
      <xdr:row>28</xdr:row>
      <xdr:rowOff>175320</xdr:rowOff>
    </xdr:from>
    <xdr:to>
      <xdr:col>2</xdr:col>
      <xdr:colOff>652680</xdr:colOff>
      <xdr:row>31</xdr:row>
      <xdr:rowOff>5040</xdr:rowOff>
    </xdr:to>
    <xdr:sp>
      <xdr:nvSpPr>
        <xdr:cNvPr id="27" name="CustomShape 1"/>
        <xdr:cNvSpPr/>
      </xdr:nvSpPr>
      <xdr:spPr>
        <a:xfrm>
          <a:off x="3637080" y="5006160"/>
          <a:ext cx="591840" cy="37836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1" lang="en-US" sz="1400" spc="-1" strike="noStrike">
              <a:solidFill>
                <a:srgbClr val="2f5597"/>
              </a:solidFill>
              <a:latin typeface="Calibri"/>
            </a:rPr>
            <a:t>Q2</a:t>
          </a:r>
          <a:endParaRPr b="0" lang="en-US" sz="1400" spc="-1" strike="noStrike">
            <a:latin typeface="Times New Roman"/>
          </a:endParaRPr>
        </a:p>
      </xdr:txBody>
    </xdr:sp>
    <xdr:clientData/>
  </xdr:twoCellAnchor>
  <xdr:twoCellAnchor editAs="oneCell">
    <xdr:from>
      <xdr:col>0</xdr:col>
      <xdr:colOff>99000</xdr:colOff>
      <xdr:row>8</xdr:row>
      <xdr:rowOff>83880</xdr:rowOff>
    </xdr:from>
    <xdr:to>
      <xdr:col>1</xdr:col>
      <xdr:colOff>721440</xdr:colOff>
      <xdr:row>20</xdr:row>
      <xdr:rowOff>157680</xdr:rowOff>
    </xdr:to>
    <xdr:sp>
      <xdr:nvSpPr>
        <xdr:cNvPr id="28" name="CustomShape 1"/>
        <xdr:cNvSpPr/>
      </xdr:nvSpPr>
      <xdr:spPr>
        <a:xfrm>
          <a:off x="99000" y="1242000"/>
          <a:ext cx="919440" cy="228348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vert="vert270" rot="16200000"/>
        <a:p>
          <a:pPr algn="ctr">
            <a:lnSpc>
              <a:spcPct val="100000"/>
            </a:lnSpc>
          </a:pPr>
          <a:r>
            <a:rPr b="1" lang="en-US" sz="1800" spc="-1" strike="noStrike">
              <a:solidFill>
                <a:srgbClr val="000000"/>
              </a:solidFill>
              <a:latin typeface="Calibri"/>
            </a:rPr>
            <a:t>UNEPI 18-MONTHS WORK PLAN DASHBOARD</a:t>
          </a:r>
          <a:endParaRPr b="0" lang="en-US" sz="1800" spc="-1" strike="noStrike">
            <a:latin typeface="Times New Roman"/>
          </a:endParaRPr>
        </a:p>
      </xdr:txBody>
    </xdr:sp>
    <xdr:clientData/>
  </xdr:twoCellAnchor>
  <xdr:twoCellAnchor editAs="oneCell">
    <xdr:from>
      <xdr:col>1</xdr:col>
      <xdr:colOff>2507040</xdr:colOff>
      <xdr:row>24</xdr:row>
      <xdr:rowOff>0</xdr:rowOff>
    </xdr:from>
    <xdr:to>
      <xdr:col>2</xdr:col>
      <xdr:colOff>1582560</xdr:colOff>
      <xdr:row>26</xdr:row>
      <xdr:rowOff>119520</xdr:rowOff>
    </xdr:to>
    <xdr:sp>
      <xdr:nvSpPr>
        <xdr:cNvPr id="29" name="CustomShape 1"/>
        <xdr:cNvSpPr/>
      </xdr:nvSpPr>
      <xdr:spPr>
        <a:xfrm>
          <a:off x="2804040" y="4099320"/>
          <a:ext cx="2354760" cy="485280"/>
        </a:xfrm>
        <a:prstGeom prst="rect">
          <a:avLst/>
        </a:prstGeom>
        <a:solidFill>
          <a:srgbClr val="00ffff"/>
        </a:solidFill>
        <a:ln w="9360">
          <a:solidFill>
            <a:srgbClr val="ffffff"/>
          </a:solidFill>
          <a:round/>
        </a:ln>
      </xdr:spPr>
      <xdr:style>
        <a:lnRef idx="0"/>
        <a:fillRef idx="0"/>
        <a:effectRef idx="0"/>
        <a:fontRef idx="minor"/>
      </xdr:style>
      <xdr:txBody>
        <a:bodyPr lIns="90000" rIns="90000" tIns="45000" bIns="45000"/>
        <a:p>
          <a:pPr algn="ctr">
            <a:lnSpc>
              <a:spcPct val="100000"/>
            </a:lnSpc>
          </a:pPr>
          <a:r>
            <a:rPr b="1" lang="en-US" sz="1200" spc="-1" strike="noStrike">
              <a:solidFill>
                <a:srgbClr val="000000"/>
              </a:solidFill>
              <a:latin typeface="Calibri"/>
            </a:rPr>
            <a:t># of planned activities per quarter: 2021</a:t>
          </a:r>
          <a:endParaRPr b="0" lang="en-US" sz="1200" spc="-1" strike="noStrike">
            <a:latin typeface="Times New Roman"/>
          </a:endParaRPr>
        </a:p>
      </xdr:txBody>
    </xdr:sp>
    <xdr:clientData/>
  </xdr:twoCellAnchor>
  <xdr:twoCellAnchor editAs="oneCell">
    <xdr:from>
      <xdr:col>8</xdr:col>
      <xdr:colOff>0</xdr:colOff>
      <xdr:row>19</xdr:row>
      <xdr:rowOff>45720</xdr:rowOff>
    </xdr:from>
    <xdr:to>
      <xdr:col>11</xdr:col>
      <xdr:colOff>1140480</xdr:colOff>
      <xdr:row>31</xdr:row>
      <xdr:rowOff>66240</xdr:rowOff>
    </xdr:to>
    <xdr:graphicFrame>
      <xdr:nvGraphicFramePr>
        <xdr:cNvPr id="30" name="Chart 26"/>
        <xdr:cNvGraphicFramePr/>
      </xdr:nvGraphicFramePr>
      <xdr:xfrm>
        <a:off x="13572360" y="3230640"/>
        <a:ext cx="4241880" cy="221508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53280</xdr:colOff>
      <xdr:row>0</xdr:row>
      <xdr:rowOff>45720</xdr:rowOff>
    </xdr:from>
    <xdr:to>
      <xdr:col>1</xdr:col>
      <xdr:colOff>789840</xdr:colOff>
      <xdr:row>8</xdr:row>
      <xdr:rowOff>50760</xdr:rowOff>
    </xdr:to>
    <xdr:sp>
      <xdr:nvSpPr>
        <xdr:cNvPr id="31" name="CustomShape 1">
          <a:hlinkClick r:id="rId5"/>
        </xdr:cNvPr>
        <xdr:cNvSpPr/>
      </xdr:nvSpPr>
      <xdr:spPr>
        <a:xfrm>
          <a:off x="53280" y="45720"/>
          <a:ext cx="1033560" cy="1163160"/>
        </a:xfrm>
        <a:prstGeom prst="roundRect">
          <a:avLst>
            <a:gd name="adj" fmla="val 16667"/>
          </a:avLst>
        </a:prstGeom>
        <a:solidFill>
          <a:srgbClr val="c0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2000" spc="-1" strike="noStrike">
              <a:solidFill>
                <a:srgbClr val="ffffff"/>
              </a:solidFill>
              <a:latin typeface="Calibri"/>
            </a:rPr>
            <a:t>GO TO MENU</a:t>
          </a:r>
          <a:endParaRPr b="0" lang="en-US" sz="2000" spc="-1" strike="noStrike">
            <a:latin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312480</xdr:colOff>
      <xdr:row>5</xdr:row>
      <xdr:rowOff>45720</xdr:rowOff>
    </xdr:from>
    <xdr:to>
      <xdr:col>14</xdr:col>
      <xdr:colOff>134640</xdr:colOff>
      <xdr:row>9</xdr:row>
      <xdr:rowOff>88920</xdr:rowOff>
    </xdr:to>
    <xdr:sp>
      <xdr:nvSpPr>
        <xdr:cNvPr id="32" name="CustomShape 1"/>
        <xdr:cNvSpPr/>
      </xdr:nvSpPr>
      <xdr:spPr>
        <a:xfrm>
          <a:off x="6382800" y="1043640"/>
          <a:ext cx="4375080" cy="774720"/>
        </a:xfrm>
        <a:prstGeom prst="roundRect">
          <a:avLst>
            <a:gd name="adj" fmla="val 16667"/>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400" spc="-1" strike="noStrike">
              <a:solidFill>
                <a:srgbClr val="ffffff"/>
              </a:solidFill>
              <a:latin typeface="Calibri"/>
            </a:rPr>
            <a:t>Under development for this particular WP - Q1 just about to end</a:t>
          </a:r>
          <a:endParaRPr b="0" lang="en-US" sz="1400" spc="-1" strike="noStrike">
            <a:latin typeface="Times New Roman"/>
          </a:endParaRPr>
        </a:p>
      </xdr:txBody>
    </xdr:sp>
    <xdr:clientData/>
  </xdr:twoCellAnchor>
  <xdr:twoCellAnchor editAs="oneCell">
    <xdr:from>
      <xdr:col>17</xdr:col>
      <xdr:colOff>122040</xdr:colOff>
      <xdr:row>5</xdr:row>
      <xdr:rowOff>30600</xdr:rowOff>
    </xdr:from>
    <xdr:to>
      <xdr:col>18</xdr:col>
      <xdr:colOff>576720</xdr:colOff>
      <xdr:row>8</xdr:row>
      <xdr:rowOff>20520</xdr:rowOff>
    </xdr:to>
    <xdr:sp>
      <xdr:nvSpPr>
        <xdr:cNvPr id="33" name="CustomShape 1">
          <a:hlinkClick r:id="rId1"/>
        </xdr:cNvPr>
        <xdr:cNvSpPr/>
      </xdr:nvSpPr>
      <xdr:spPr>
        <a:xfrm>
          <a:off x="13021920" y="1028520"/>
          <a:ext cx="1213560" cy="538560"/>
        </a:xfrm>
        <a:prstGeom prst="roundRect">
          <a:avLst>
            <a:gd name="adj" fmla="val 16667"/>
          </a:avLst>
        </a:prstGeom>
        <a:solidFill>
          <a:srgbClr val="c0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en-US" sz="1600" spc="-1" strike="noStrike">
              <a:solidFill>
                <a:srgbClr val="ffffff"/>
              </a:solidFill>
              <a:latin typeface="Calibri"/>
            </a:rPr>
            <a:t>MENU</a:t>
          </a:r>
          <a:endParaRPr b="0" lang="en-US" sz="1600" spc="-1" strike="noStrike">
            <a:latin typeface="Times New Roman"/>
          </a:endParaRPr>
        </a:p>
      </xdr:txBody>
    </xdr:sp>
    <xdr:clientData/>
  </xdr:twoCellAnchor>
</xdr:wsDr>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6.xml.rels><?xml version="1.0" encoding="UTF-8"?>
<Relationships xmlns="http://schemas.openxmlformats.org/package/2006/relationships"><Relationship Id="rId1" Type="http://schemas.openxmlformats.org/officeDocument/2006/relationships/drawing" Target="../drawings/drawing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_rels/sheet8.xml.rels><?xml version="1.0" encoding="UTF-8"?>
<Relationships xmlns="http://schemas.openxmlformats.org/package/2006/relationships"><Relationship Id="rId1" Type="http://schemas.openxmlformats.org/officeDocument/2006/relationships/drawing" Target="../drawings/drawing4.x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5.xml"/><Relationship Id="rId3" Type="http://schemas.openxmlformats.org/officeDocument/2006/relationships/vmlDrawing" Target="../drawings/vmlDrawing1.vml"/>
</Relationships>
</file>

<file path=xl/worksheets/_rels/sheet10.xml.rels><?xml version="1.0" encoding="UTF-8"?>
<Relationships xmlns="http://schemas.openxmlformats.org/package/2006/relationships"><Relationship Id="rId1" Type="http://schemas.openxmlformats.org/officeDocument/2006/relationships/drawing" Target="../drawings/drawing6.xml"/>
</Relationships>
</file>

<file path=xl/worksheets/_rels/sheet11.xml.rels><?xml version="1.0" encoding="UTF-8"?>
<Relationships xmlns="http://schemas.openxmlformats.org/package/2006/relationships"><Relationship Id="rId1" Type="http://schemas.openxmlformats.org/officeDocument/2006/relationships/drawing" Target="../drawings/drawing7.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3:I1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6" activeCellId="0" sqref="A6"/>
    </sheetView>
  </sheetViews>
  <sheetFormatPr defaultRowHeight="14.4" zeroHeight="false" outlineLevelRow="0" outlineLevelCol="0"/>
  <cols>
    <col collapsed="false" customWidth="true" hidden="false" outlineLevel="0" max="1" min="1" style="0" width="47.22"/>
    <col collapsed="false" customWidth="true" hidden="false" outlineLevel="0" max="2" min="2" style="0" width="15.55"/>
    <col collapsed="false" customWidth="true" hidden="false" outlineLevel="0" max="3" min="3" style="0" width="9.55"/>
    <col collapsed="false" customWidth="true" hidden="false" outlineLevel="0" max="5" min="4" style="0" width="5.79"/>
    <col collapsed="false" customWidth="true" hidden="false" outlineLevel="0" max="6" min="6" style="0" width="25.45"/>
    <col collapsed="false" customWidth="true" hidden="false" outlineLevel="0" max="7" min="7" style="0" width="15.55"/>
    <col collapsed="false" customWidth="true" hidden="false" outlineLevel="0" max="8" min="8" style="0" width="9.55"/>
    <col collapsed="false" customWidth="true" hidden="false" outlineLevel="0" max="10" min="9" style="0" width="5.22"/>
    <col collapsed="false" customWidth="true" hidden="false" outlineLevel="0" max="1025" min="11" style="0" width="8.53"/>
  </cols>
  <sheetData>
    <row r="3" customFormat="false" ht="14.4" hidden="false" customHeight="false" outlineLevel="0" collapsed="false">
      <c r="A3" s="1" t="s">
        <v>0</v>
      </c>
      <c r="B3" s="1" t="s">
        <v>1</v>
      </c>
      <c r="F3" s="1" t="s">
        <v>2</v>
      </c>
      <c r="G3" s="1" t="s">
        <v>1</v>
      </c>
    </row>
    <row r="4" customFormat="false" ht="14.4" hidden="false" customHeight="false" outlineLevel="0" collapsed="false">
      <c r="A4" s="1" t="s">
        <v>3</v>
      </c>
      <c r="B4" s="0" t="s">
        <v>4</v>
      </c>
      <c r="C4" s="0" t="s">
        <v>5</v>
      </c>
      <c r="D4" s="0" t="s">
        <v>6</v>
      </c>
      <c r="F4" s="1" t="s">
        <v>7</v>
      </c>
      <c r="G4" s="2" t="s">
        <v>4</v>
      </c>
      <c r="H4" s="2" t="s">
        <v>5</v>
      </c>
      <c r="I4" s="2" t="s">
        <v>8</v>
      </c>
    </row>
    <row r="5" customFormat="false" ht="14.4" hidden="false" customHeight="false" outlineLevel="0" collapsed="false">
      <c r="A5" s="3" t="s">
        <v>9</v>
      </c>
      <c r="B5" s="0" t="n">
        <v>15</v>
      </c>
      <c r="D5" s="0" t="n">
        <v>15</v>
      </c>
      <c r="F5" s="3" t="s">
        <v>10</v>
      </c>
      <c r="G5" s="4" t="n">
        <v>4</v>
      </c>
      <c r="H5" s="4"/>
      <c r="I5" s="4" t="n">
        <v>4</v>
      </c>
    </row>
    <row r="6" customFormat="false" ht="14.4" hidden="false" customHeight="false" outlineLevel="0" collapsed="false">
      <c r="A6" s="3" t="s">
        <v>11</v>
      </c>
      <c r="B6" s="0" t="n">
        <v>14</v>
      </c>
      <c r="D6" s="0" t="n">
        <v>14</v>
      </c>
      <c r="F6" s="3" t="s">
        <v>12</v>
      </c>
      <c r="G6" s="4" t="n">
        <v>1</v>
      </c>
      <c r="H6" s="4"/>
      <c r="I6" s="4" t="n">
        <v>1</v>
      </c>
    </row>
    <row r="7" customFormat="false" ht="14.4" hidden="false" customHeight="false" outlineLevel="0" collapsed="false">
      <c r="A7" s="3" t="s">
        <v>13</v>
      </c>
      <c r="B7" s="0" t="n">
        <v>7</v>
      </c>
      <c r="D7" s="0" t="n">
        <v>7</v>
      </c>
      <c r="F7" s="3" t="s">
        <v>14</v>
      </c>
      <c r="G7" s="4" t="n">
        <v>6</v>
      </c>
      <c r="H7" s="4"/>
      <c r="I7" s="4" t="n">
        <v>6</v>
      </c>
    </row>
    <row r="8" customFormat="false" ht="14.4" hidden="false" customHeight="false" outlineLevel="0" collapsed="false">
      <c r="A8" s="3" t="s">
        <v>15</v>
      </c>
      <c r="B8" s="0" t="n">
        <v>18</v>
      </c>
      <c r="C8" s="0" t="n">
        <v>1</v>
      </c>
      <c r="D8" s="0" t="n">
        <v>19</v>
      </c>
      <c r="F8" s="3" t="s">
        <v>16</v>
      </c>
      <c r="G8" s="4" t="n">
        <v>19</v>
      </c>
      <c r="H8" s="4"/>
      <c r="I8" s="4" t="n">
        <v>19</v>
      </c>
    </row>
    <row r="9" customFormat="false" ht="14.4" hidden="false" customHeight="false" outlineLevel="0" collapsed="false">
      <c r="A9" s="3" t="s">
        <v>17</v>
      </c>
      <c r="B9" s="0" t="n">
        <v>13</v>
      </c>
      <c r="D9" s="0" t="n">
        <v>13</v>
      </c>
      <c r="F9" s="3" t="s">
        <v>18</v>
      </c>
      <c r="G9" s="4" t="n">
        <v>20</v>
      </c>
      <c r="H9" s="4"/>
      <c r="I9" s="4" t="n">
        <v>20</v>
      </c>
    </row>
    <row r="10" customFormat="false" ht="14.4" hidden="false" customHeight="false" outlineLevel="0" collapsed="false">
      <c r="A10" s="3" t="s">
        <v>19</v>
      </c>
      <c r="B10" s="0" t="n">
        <v>3</v>
      </c>
      <c r="D10" s="0" t="n">
        <v>3</v>
      </c>
      <c r="F10" s="3" t="s">
        <v>20</v>
      </c>
      <c r="G10" s="4" t="n">
        <v>2</v>
      </c>
      <c r="H10" s="4"/>
      <c r="I10" s="4" t="n">
        <v>2</v>
      </c>
    </row>
    <row r="11" customFormat="false" ht="14.4" hidden="false" customHeight="false" outlineLevel="0" collapsed="false">
      <c r="A11" s="3" t="s">
        <v>21</v>
      </c>
      <c r="B11" s="0" t="n">
        <v>16</v>
      </c>
      <c r="D11" s="0" t="n">
        <v>16</v>
      </c>
      <c r="F11" s="3" t="s">
        <v>22</v>
      </c>
      <c r="G11" s="4" t="n">
        <v>8</v>
      </c>
      <c r="H11" s="4" t="n">
        <v>1</v>
      </c>
      <c r="I11" s="4" t="n">
        <v>9</v>
      </c>
    </row>
    <row r="12" customFormat="false" ht="14.4" hidden="false" customHeight="false" outlineLevel="0" collapsed="false">
      <c r="A12" s="3" t="s">
        <v>6</v>
      </c>
      <c r="B12" s="0" t="n">
        <v>86</v>
      </c>
      <c r="C12" s="0" t="n">
        <v>1</v>
      </c>
      <c r="D12" s="0" t="n">
        <v>87</v>
      </c>
      <c r="F12" s="3" t="s">
        <v>23</v>
      </c>
      <c r="G12" s="4" t="n">
        <v>7</v>
      </c>
      <c r="H12" s="4"/>
      <c r="I12" s="4" t="n">
        <v>7</v>
      </c>
    </row>
    <row r="13" customFormat="false" ht="14.4" hidden="false" customHeight="false" outlineLevel="0" collapsed="false">
      <c r="F13" s="3" t="s">
        <v>24</v>
      </c>
      <c r="G13" s="4" t="n">
        <v>8</v>
      </c>
      <c r="H13" s="4"/>
      <c r="I13" s="4" t="n">
        <v>8</v>
      </c>
    </row>
    <row r="14" customFormat="false" ht="14.4" hidden="false" customHeight="false" outlineLevel="0" collapsed="false">
      <c r="F14" s="3" t="s">
        <v>25</v>
      </c>
      <c r="G14" s="4" t="n">
        <v>9</v>
      </c>
      <c r="H14" s="4"/>
      <c r="I14" s="4" t="n">
        <v>9</v>
      </c>
    </row>
    <row r="15" customFormat="false" ht="14.4" hidden="false" customHeight="false" outlineLevel="0" collapsed="false">
      <c r="F15" s="3" t="s">
        <v>26</v>
      </c>
      <c r="G15" s="4" t="n">
        <v>1</v>
      </c>
      <c r="H15" s="4"/>
      <c r="I15" s="4" t="n">
        <v>1</v>
      </c>
    </row>
    <row r="16" customFormat="false" ht="14.4" hidden="false" customHeight="false" outlineLevel="0" collapsed="false">
      <c r="F16" s="3" t="s">
        <v>27</v>
      </c>
      <c r="G16" s="4" t="n">
        <v>1</v>
      </c>
      <c r="H16" s="4"/>
      <c r="I16" s="4" t="n">
        <v>1</v>
      </c>
    </row>
    <row r="17" customFormat="false" ht="14.4" hidden="false" customHeight="false" outlineLevel="0" collapsed="false">
      <c r="F17" s="3" t="s">
        <v>8</v>
      </c>
      <c r="G17" s="4" t="n">
        <v>86</v>
      </c>
      <c r="H17" s="4" t="n">
        <v>1</v>
      </c>
      <c r="I17" s="4" t="n">
        <v>87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3:B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RowHeight="14.4" zeroHeight="false" outlineLevelRow="0" outlineLevelCol="0"/>
  <cols>
    <col collapsed="false" customWidth="true" hidden="false" outlineLevel="0" max="1" min="1" style="0" width="12.55"/>
    <col collapsed="false" customWidth="true" hidden="false" outlineLevel="0" max="2" min="2" style="0" width="25.45"/>
    <col collapsed="false" customWidth="true" hidden="false" outlineLevel="0" max="5" min="3" style="0" width="5.44"/>
    <col collapsed="false" customWidth="true" hidden="false" outlineLevel="0" max="6" min="6" style="0" width="10.33"/>
    <col collapsed="false" customWidth="true" hidden="false" outlineLevel="0" max="7" min="7" style="0" width="5.44"/>
    <col collapsed="false" customWidth="true" hidden="false" outlineLevel="0" max="8" min="8" style="0" width="5.55"/>
    <col collapsed="false" customWidth="true" hidden="false" outlineLevel="0" max="9" min="9" style="0" width="7.22"/>
    <col collapsed="false" customWidth="true" hidden="false" outlineLevel="0" max="10" min="10" style="0" width="5.44"/>
    <col collapsed="false" customWidth="true" hidden="false" outlineLevel="0" max="11" min="11" style="0" width="10.78"/>
    <col collapsed="false" customWidth="true" hidden="false" outlineLevel="0" max="1025" min="12" style="0" width="8.53"/>
  </cols>
  <sheetData>
    <row r="3" customFormat="false" ht="14.4" hidden="false" customHeight="false" outlineLevel="0" collapsed="false">
      <c r="A3" s="1" t="s">
        <v>3</v>
      </c>
      <c r="B3" s="0" t="s">
        <v>2</v>
      </c>
    </row>
    <row r="4" customFormat="false" ht="14.4" hidden="false" customHeight="false" outlineLevel="0" collapsed="false">
      <c r="A4" s="3" t="s">
        <v>10</v>
      </c>
      <c r="B4" s="5" t="n">
        <v>0.0459770114942529</v>
      </c>
    </row>
    <row r="5" customFormat="false" ht="14.4" hidden="false" customHeight="false" outlineLevel="0" collapsed="false">
      <c r="A5" s="3" t="s">
        <v>12</v>
      </c>
      <c r="B5" s="5" t="n">
        <v>0.0114942528735632</v>
      </c>
    </row>
    <row r="6" customFormat="false" ht="14.4" hidden="false" customHeight="false" outlineLevel="0" collapsed="false">
      <c r="A6" s="3" t="s">
        <v>14</v>
      </c>
      <c r="B6" s="5" t="n">
        <v>0.0689655172413793</v>
      </c>
    </row>
    <row r="7" customFormat="false" ht="14.4" hidden="false" customHeight="false" outlineLevel="0" collapsed="false">
      <c r="A7" s="3" t="s">
        <v>16</v>
      </c>
      <c r="B7" s="5" t="n">
        <v>0.218390804597701</v>
      </c>
    </row>
    <row r="8" customFormat="false" ht="14.4" hidden="false" customHeight="false" outlineLevel="0" collapsed="false">
      <c r="A8" s="3" t="s">
        <v>18</v>
      </c>
      <c r="B8" s="5" t="n">
        <v>0.229885057471264</v>
      </c>
    </row>
    <row r="9" customFormat="false" ht="14.4" hidden="false" customHeight="false" outlineLevel="0" collapsed="false">
      <c r="A9" s="3" t="s">
        <v>20</v>
      </c>
      <c r="B9" s="5" t="n">
        <v>0.0229885057471264</v>
      </c>
    </row>
    <row r="10" customFormat="false" ht="14.4" hidden="false" customHeight="false" outlineLevel="0" collapsed="false">
      <c r="A10" s="3" t="s">
        <v>22</v>
      </c>
      <c r="B10" s="5" t="n">
        <v>0.103448275862069</v>
      </c>
    </row>
    <row r="11" customFormat="false" ht="14.4" hidden="false" customHeight="false" outlineLevel="0" collapsed="false">
      <c r="A11" s="3" t="s">
        <v>23</v>
      </c>
      <c r="B11" s="5" t="n">
        <v>0.0804597701149425</v>
      </c>
    </row>
    <row r="12" customFormat="false" ht="14.4" hidden="false" customHeight="false" outlineLevel="0" collapsed="false">
      <c r="A12" s="3" t="s">
        <v>24</v>
      </c>
      <c r="B12" s="5" t="n">
        <v>0.0919540229885057</v>
      </c>
    </row>
    <row r="13" customFormat="false" ht="14.4" hidden="false" customHeight="false" outlineLevel="0" collapsed="false">
      <c r="A13" s="3" t="s">
        <v>25</v>
      </c>
      <c r="B13" s="5" t="n">
        <v>0.103448275862069</v>
      </c>
    </row>
    <row r="14" customFormat="false" ht="14.4" hidden="false" customHeight="false" outlineLevel="0" collapsed="false">
      <c r="A14" s="3" t="s">
        <v>26</v>
      </c>
      <c r="B14" s="5" t="n">
        <v>0.0114942528735632</v>
      </c>
    </row>
    <row r="15" customFormat="false" ht="14.4" hidden="false" customHeight="false" outlineLevel="0" collapsed="false">
      <c r="A15" s="3" t="s">
        <v>27</v>
      </c>
      <c r="B15" s="5" t="n">
        <v>0.0114942528735632</v>
      </c>
    </row>
    <row r="16" customFormat="false" ht="14.4" hidden="false" customHeight="false" outlineLevel="0" collapsed="false">
      <c r="A16" s="3" t="s">
        <v>28</v>
      </c>
      <c r="B16" s="5" t="n">
        <v>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sheetPr filterMode="false">
    <pageSetUpPr fitToPage="false"/>
  </sheetPr>
  <dimension ref="A3:B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3" activeCellId="0" sqref="A3"/>
    </sheetView>
  </sheetViews>
  <sheetFormatPr defaultRowHeight="14.4" zeroHeight="false" outlineLevelRow="0" outlineLevelCol="0"/>
  <cols>
    <col collapsed="false" customWidth="true" hidden="false" outlineLevel="0" max="1" min="1" style="0" width="40.88"/>
    <col collapsed="false" customWidth="true" hidden="false" outlineLevel="0" max="2" min="2" style="0" width="22.21"/>
    <col collapsed="false" customWidth="true" hidden="false" outlineLevel="0" max="1025" min="3" style="0" width="8.53"/>
  </cols>
  <sheetData>
    <row r="3" customFormat="false" ht="14.4" hidden="false" customHeight="false" outlineLevel="0" collapsed="false">
      <c r="A3" s="1" t="s">
        <v>3</v>
      </c>
      <c r="B3" s="0" t="s">
        <v>29</v>
      </c>
    </row>
    <row r="4" customFormat="false" ht="14.4" hidden="false" customHeight="false" outlineLevel="0" collapsed="false">
      <c r="A4" s="3" t="s">
        <v>9</v>
      </c>
      <c r="B4" s="6" t="n">
        <v>18052500</v>
      </c>
    </row>
    <row r="5" customFormat="false" ht="14.4" hidden="false" customHeight="false" outlineLevel="0" collapsed="false">
      <c r="A5" s="3" t="s">
        <v>11</v>
      </c>
      <c r="B5" s="6" t="n">
        <v>14150500</v>
      </c>
    </row>
    <row r="6" customFormat="false" ht="14.4" hidden="false" customHeight="false" outlineLevel="0" collapsed="false">
      <c r="A6" s="3" t="s">
        <v>13</v>
      </c>
      <c r="B6" s="6" t="n">
        <v>9612000</v>
      </c>
    </row>
    <row r="7" customFormat="false" ht="14.4" hidden="false" customHeight="false" outlineLevel="0" collapsed="false">
      <c r="A7" s="3" t="s">
        <v>15</v>
      </c>
      <c r="B7" s="6" t="n">
        <v>20227500</v>
      </c>
    </row>
    <row r="8" customFormat="false" ht="14.4" hidden="false" customHeight="false" outlineLevel="0" collapsed="false">
      <c r="A8" s="3" t="s">
        <v>17</v>
      </c>
      <c r="B8" s="6" t="n">
        <v>13396500</v>
      </c>
    </row>
    <row r="9" customFormat="false" ht="14.4" hidden="false" customHeight="false" outlineLevel="0" collapsed="false">
      <c r="A9" s="3" t="s">
        <v>19</v>
      </c>
      <c r="B9" s="6" t="n">
        <v>3103500</v>
      </c>
    </row>
    <row r="10" customFormat="false" ht="14.4" hidden="false" customHeight="false" outlineLevel="0" collapsed="false">
      <c r="A10" s="3" t="s">
        <v>21</v>
      </c>
      <c r="B10" s="6" t="n">
        <v>16628000</v>
      </c>
    </row>
    <row r="11" customFormat="false" ht="14.4" hidden="false" customHeight="false" outlineLevel="0" collapsed="false">
      <c r="A11" s="3" t="s">
        <v>28</v>
      </c>
      <c r="B11" s="6" t="n">
        <v>95170500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3:B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7" activeCellId="0" sqref="B7"/>
    </sheetView>
  </sheetViews>
  <sheetFormatPr defaultRowHeight="14.4" zeroHeight="false" outlineLevelRow="0" outlineLevelCol="0"/>
  <cols>
    <col collapsed="false" customWidth="true" hidden="false" outlineLevel="0" max="1" min="1" style="0" width="14.33"/>
    <col collapsed="false" customWidth="true" hidden="false" outlineLevel="0" max="2" min="2" style="0" width="22.21"/>
    <col collapsed="false" customWidth="true" hidden="false" outlineLevel="0" max="3" min="3" style="0" width="23.21"/>
    <col collapsed="false" customWidth="true" hidden="false" outlineLevel="0" max="1025" min="4" style="0" width="8.53"/>
  </cols>
  <sheetData>
    <row r="3" customFormat="false" ht="14.4" hidden="false" customHeight="false" outlineLevel="0" collapsed="false">
      <c r="A3" s="1" t="s">
        <v>3</v>
      </c>
      <c r="B3" s="0" t="s">
        <v>29</v>
      </c>
    </row>
    <row r="4" customFormat="false" ht="14.4" hidden="false" customHeight="false" outlineLevel="0" collapsed="false">
      <c r="A4" s="3" t="s">
        <v>10</v>
      </c>
      <c r="B4" s="7" t="n">
        <v>4033000</v>
      </c>
    </row>
    <row r="5" customFormat="false" ht="14.4" hidden="false" customHeight="false" outlineLevel="0" collapsed="false">
      <c r="A5" s="3" t="s">
        <v>12</v>
      </c>
      <c r="B5" s="7" t="n">
        <v>1018000</v>
      </c>
    </row>
    <row r="6" customFormat="false" ht="14.4" hidden="false" customHeight="false" outlineLevel="0" collapsed="false">
      <c r="A6" s="3" t="s">
        <v>14</v>
      </c>
      <c r="B6" s="7" t="n">
        <v>6138000</v>
      </c>
    </row>
    <row r="7" customFormat="false" ht="14.4" hidden="false" customHeight="false" outlineLevel="0" collapsed="false">
      <c r="A7" s="3" t="s">
        <v>16</v>
      </c>
      <c r="B7" s="7" t="n">
        <v>24653500</v>
      </c>
    </row>
    <row r="8" customFormat="false" ht="14.4" hidden="false" customHeight="false" outlineLevel="0" collapsed="false">
      <c r="A8" s="3" t="s">
        <v>18</v>
      </c>
      <c r="B8" s="7" t="n">
        <v>20571000</v>
      </c>
    </row>
    <row r="9" customFormat="false" ht="14.4" hidden="false" customHeight="false" outlineLevel="0" collapsed="false">
      <c r="A9" s="3" t="s">
        <v>20</v>
      </c>
      <c r="B9" s="7" t="n">
        <v>2033500</v>
      </c>
    </row>
    <row r="10" customFormat="false" ht="14.4" hidden="false" customHeight="false" outlineLevel="0" collapsed="false">
      <c r="A10" s="3" t="s">
        <v>22</v>
      </c>
      <c r="B10" s="7" t="n">
        <v>9122500</v>
      </c>
    </row>
    <row r="11" customFormat="false" ht="14.4" hidden="false" customHeight="false" outlineLevel="0" collapsed="false">
      <c r="A11" s="3" t="s">
        <v>23</v>
      </c>
      <c r="B11" s="7" t="n">
        <v>7171500</v>
      </c>
    </row>
    <row r="12" customFormat="false" ht="14.4" hidden="false" customHeight="false" outlineLevel="0" collapsed="false">
      <c r="A12" s="3" t="s">
        <v>24</v>
      </c>
      <c r="B12" s="7" t="n">
        <v>8136000</v>
      </c>
    </row>
    <row r="13" customFormat="false" ht="14.4" hidden="false" customHeight="false" outlineLevel="0" collapsed="false">
      <c r="A13" s="3" t="s">
        <v>25</v>
      </c>
      <c r="B13" s="7" t="n">
        <v>9279500</v>
      </c>
    </row>
    <row r="14" customFormat="false" ht="14.4" hidden="false" customHeight="false" outlineLevel="0" collapsed="false">
      <c r="A14" s="3" t="s">
        <v>26</v>
      </c>
      <c r="B14" s="7" t="n">
        <v>1014000</v>
      </c>
    </row>
    <row r="15" customFormat="false" ht="14.4" hidden="false" customHeight="false" outlineLevel="0" collapsed="false">
      <c r="A15" s="3" t="s">
        <v>27</v>
      </c>
      <c r="B15" s="7" t="n">
        <v>2000000</v>
      </c>
    </row>
    <row r="16" customFormat="false" ht="14.4" hidden="false" customHeight="false" outlineLevel="0" collapsed="false">
      <c r="A16" s="3" t="s">
        <v>28</v>
      </c>
      <c r="B16" s="7" t="n">
        <v>95170500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3:P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P10" activeCellId="0" sqref="P10"/>
    </sheetView>
  </sheetViews>
  <sheetFormatPr defaultRowHeight="14.4" zeroHeight="false" outlineLevelRow="0" outlineLevelCol="0"/>
  <cols>
    <col collapsed="false" customWidth="true" hidden="false" outlineLevel="0" max="1" min="1" style="0" width="22.44"/>
    <col collapsed="false" customWidth="true" hidden="false" outlineLevel="0" max="2" min="2" style="0" width="15.55"/>
    <col collapsed="false" customWidth="true" hidden="false" outlineLevel="0" max="3" min="3" style="0" width="4.44"/>
    <col collapsed="false" customWidth="true" hidden="false" outlineLevel="0" max="4" min="4" style="0" width="5.11"/>
    <col collapsed="false" customWidth="true" hidden="false" outlineLevel="0" max="5" min="5" style="0" width="4.66"/>
    <col collapsed="false" customWidth="true" hidden="false" outlineLevel="0" max="6" min="6" style="0" width="10.33"/>
    <col collapsed="false" customWidth="true" hidden="false" outlineLevel="0" max="7" min="7" style="0" width="3.22"/>
    <col collapsed="false" customWidth="true" hidden="false" outlineLevel="0" max="8" min="8" style="0" width="5.55"/>
    <col collapsed="false" customWidth="true" hidden="false" outlineLevel="0" max="9" min="9" style="0" width="7.22"/>
    <col collapsed="false" customWidth="true" hidden="false" outlineLevel="0" max="10" min="10" style="0" width="5.34"/>
    <col collapsed="false" customWidth="true" hidden="false" outlineLevel="0" max="11" min="11" style="0" width="8.66"/>
    <col collapsed="false" customWidth="true" hidden="false" outlineLevel="0" max="12" min="12" style="0" width="14.66"/>
    <col collapsed="false" customWidth="true" hidden="false" outlineLevel="0" max="13" min="13" style="0" width="6.34"/>
    <col collapsed="false" customWidth="true" hidden="false" outlineLevel="0" max="14" min="14" style="0" width="10.78"/>
    <col collapsed="false" customWidth="true" hidden="false" outlineLevel="0" max="54" min="15" style="0" width="23.33"/>
    <col collapsed="false" customWidth="true" hidden="false" outlineLevel="0" max="60" min="55" style="0" width="28.11"/>
    <col collapsed="false" customWidth="true" hidden="false" outlineLevel="0" max="1025" min="61" style="0" width="8.53"/>
  </cols>
  <sheetData>
    <row r="3" customFormat="false" ht="14.4" hidden="false" customHeight="false" outlineLevel="0" collapsed="false">
      <c r="B3" s="1" t="s">
        <v>1</v>
      </c>
    </row>
    <row r="4" customFormat="false" ht="14.4" hidden="false" customHeight="false" outlineLevel="0" collapsed="false">
      <c r="A4" s="1" t="s">
        <v>30</v>
      </c>
      <c r="B4" s="0" t="s">
        <v>10</v>
      </c>
      <c r="C4" s="0" t="s">
        <v>12</v>
      </c>
      <c r="D4" s="0" t="s">
        <v>14</v>
      </c>
      <c r="E4" s="0" t="s">
        <v>16</v>
      </c>
      <c r="F4" s="0" t="s">
        <v>18</v>
      </c>
      <c r="G4" s="0" t="s">
        <v>20</v>
      </c>
      <c r="H4" s="0" t="s">
        <v>22</v>
      </c>
      <c r="I4" s="0" t="s">
        <v>23</v>
      </c>
      <c r="J4" s="0" t="s">
        <v>24</v>
      </c>
      <c r="K4" s="0" t="s">
        <v>25</v>
      </c>
      <c r="L4" s="0" t="s">
        <v>26</v>
      </c>
      <c r="M4" s="0" t="s">
        <v>27</v>
      </c>
      <c r="N4" s="0" t="s">
        <v>28</v>
      </c>
    </row>
    <row r="5" customFormat="false" ht="14.4" hidden="false" customHeight="false" outlineLevel="0" collapsed="false">
      <c r="A5" s="3" t="s">
        <v>31</v>
      </c>
      <c r="B5" s="0" t="n">
        <v>0</v>
      </c>
      <c r="C5" s="0" t="n">
        <v>0</v>
      </c>
      <c r="D5" s="0" t="n">
        <v>3</v>
      </c>
      <c r="E5" s="0" t="n">
        <v>10</v>
      </c>
      <c r="F5" s="0" t="n">
        <v>9</v>
      </c>
      <c r="G5" s="0" t="n">
        <v>0</v>
      </c>
      <c r="H5" s="0" t="n">
        <v>4</v>
      </c>
      <c r="I5" s="0" t="n">
        <v>3</v>
      </c>
      <c r="J5" s="0" t="n">
        <v>1</v>
      </c>
      <c r="K5" s="0" t="n">
        <v>1</v>
      </c>
      <c r="L5" s="0" t="n">
        <v>0</v>
      </c>
      <c r="M5" s="0" t="n">
        <v>0</v>
      </c>
      <c r="N5" s="0" t="n">
        <v>31</v>
      </c>
      <c r="P5" s="0" t="n">
        <f aca="false">GETPIVOTDATA("Sum of Scheduled 2020Q1",$A$3)</f>
        <v>31</v>
      </c>
    </row>
    <row r="6" customFormat="false" ht="14.4" hidden="false" customHeight="false" outlineLevel="0" collapsed="false">
      <c r="A6" s="3" t="s">
        <v>32</v>
      </c>
      <c r="B6" s="0" t="n">
        <v>1</v>
      </c>
      <c r="C6" s="0" t="n">
        <v>1</v>
      </c>
      <c r="D6" s="0" t="n">
        <v>5</v>
      </c>
      <c r="E6" s="0" t="n">
        <v>10</v>
      </c>
      <c r="F6" s="0" t="n">
        <v>11</v>
      </c>
      <c r="G6" s="0" t="n">
        <v>0</v>
      </c>
      <c r="H6" s="0" t="n">
        <v>5</v>
      </c>
      <c r="I6" s="0" t="n">
        <v>6</v>
      </c>
      <c r="J6" s="0" t="n">
        <v>1</v>
      </c>
      <c r="K6" s="0" t="n">
        <v>6</v>
      </c>
      <c r="L6" s="0" t="n">
        <v>1</v>
      </c>
      <c r="M6" s="0" t="n">
        <v>0</v>
      </c>
      <c r="N6" s="0" t="n">
        <v>47</v>
      </c>
      <c r="P6" s="0" t="n">
        <f aca="false">GETPIVOTDATA("Sum of Scheduled 2020Q2",$A$3)</f>
        <v>47</v>
      </c>
    </row>
    <row r="7" customFormat="false" ht="14.4" hidden="false" customHeight="false" outlineLevel="0" collapsed="false">
      <c r="A7" s="3" t="s">
        <v>33</v>
      </c>
      <c r="B7" s="0" t="n">
        <v>1</v>
      </c>
      <c r="C7" s="0" t="n">
        <v>1</v>
      </c>
      <c r="D7" s="0" t="n">
        <v>2</v>
      </c>
      <c r="E7" s="0" t="n">
        <v>8</v>
      </c>
      <c r="F7" s="0" t="n">
        <v>9</v>
      </c>
      <c r="G7" s="0" t="n">
        <v>0</v>
      </c>
      <c r="H7" s="0" t="n">
        <v>6</v>
      </c>
      <c r="I7" s="0" t="n">
        <v>7</v>
      </c>
      <c r="J7" s="0" t="n">
        <v>6</v>
      </c>
      <c r="K7" s="0" t="n">
        <v>2</v>
      </c>
      <c r="L7" s="0" t="n">
        <v>0</v>
      </c>
      <c r="M7" s="0" t="n">
        <v>1</v>
      </c>
      <c r="N7" s="0" t="n">
        <v>43</v>
      </c>
      <c r="P7" s="0" t="n">
        <f aca="false">GETPIVOTDATA("Sum of Scheduled 2020Q3",$A$3)</f>
        <v>43</v>
      </c>
    </row>
    <row r="8" customFormat="false" ht="14.4" hidden="false" customHeight="false" outlineLevel="0" collapsed="false">
      <c r="A8" s="3" t="s">
        <v>34</v>
      </c>
      <c r="B8" s="0" t="n">
        <v>2</v>
      </c>
      <c r="C8" s="0" t="n">
        <v>1</v>
      </c>
      <c r="D8" s="0" t="n">
        <v>2</v>
      </c>
      <c r="E8" s="0" t="n">
        <v>10</v>
      </c>
      <c r="F8" s="0" t="n">
        <v>9</v>
      </c>
      <c r="G8" s="0" t="n">
        <v>1</v>
      </c>
      <c r="H8" s="0" t="n">
        <v>5</v>
      </c>
      <c r="I8" s="0" t="n">
        <v>6</v>
      </c>
      <c r="J8" s="0" t="n">
        <v>5</v>
      </c>
      <c r="K8" s="0" t="n">
        <v>2</v>
      </c>
      <c r="L8" s="0" t="n">
        <v>0</v>
      </c>
      <c r="M8" s="0" t="n">
        <v>1</v>
      </c>
      <c r="N8" s="0" t="n">
        <v>44</v>
      </c>
      <c r="P8" s="0" t="n">
        <f aca="false">GETPIVOTDATA("Sum of Scheduled 2020Q4",$A$3)</f>
        <v>44</v>
      </c>
    </row>
    <row r="9" customFormat="false" ht="14.4" hidden="false" customHeight="false" outlineLevel="0" collapsed="false">
      <c r="A9" s="3" t="s">
        <v>35</v>
      </c>
      <c r="B9" s="0" t="n">
        <v>1</v>
      </c>
      <c r="C9" s="0" t="n">
        <v>0</v>
      </c>
      <c r="D9" s="0" t="n">
        <v>3</v>
      </c>
      <c r="E9" s="0" t="n">
        <v>9</v>
      </c>
      <c r="F9" s="0" t="n">
        <v>4</v>
      </c>
      <c r="G9" s="0" t="n">
        <v>1</v>
      </c>
      <c r="H9" s="0" t="n">
        <v>0</v>
      </c>
      <c r="I9" s="0" t="n">
        <v>1</v>
      </c>
      <c r="J9" s="0" t="n">
        <v>2</v>
      </c>
      <c r="K9" s="0" t="n">
        <v>0</v>
      </c>
      <c r="L9" s="0" t="n">
        <v>0</v>
      </c>
      <c r="M9" s="0" t="n">
        <v>1</v>
      </c>
      <c r="N9" s="0" t="n">
        <v>22</v>
      </c>
      <c r="P9" s="0" t="n">
        <f aca="false">GETPIVOTDATA("Sum of Scheduled 2021Q1",$A$3)</f>
        <v>22</v>
      </c>
    </row>
    <row r="10" customFormat="false" ht="14.4" hidden="false" customHeight="false" outlineLevel="0" collapsed="false">
      <c r="A10" s="3" t="s">
        <v>36</v>
      </c>
      <c r="B10" s="0" t="n">
        <v>1</v>
      </c>
      <c r="C10" s="0" t="n">
        <v>0</v>
      </c>
      <c r="D10" s="0" t="n">
        <v>1</v>
      </c>
      <c r="E10" s="0" t="n">
        <v>10</v>
      </c>
      <c r="F10" s="0" t="n">
        <v>6</v>
      </c>
      <c r="G10" s="0" t="n">
        <v>0</v>
      </c>
      <c r="H10" s="0" t="n">
        <v>0</v>
      </c>
      <c r="I10" s="0" t="n">
        <v>1</v>
      </c>
      <c r="J10" s="0" t="n">
        <v>2</v>
      </c>
      <c r="K10" s="0" t="n">
        <v>2</v>
      </c>
      <c r="L10" s="0" t="n">
        <v>0</v>
      </c>
      <c r="M10" s="0" t="n">
        <v>1</v>
      </c>
      <c r="N10" s="0" t="n">
        <v>24</v>
      </c>
      <c r="P10" s="0" t="n">
        <f aca="false">GETPIVOTDATA("Sum of Scheduled 2021Q2",$A$3)</f>
        <v>24</v>
      </c>
    </row>
    <row r="11" customFormat="false" ht="14.4" hidden="false" customHeight="false" outlineLevel="0" collapsed="false">
      <c r="P11" s="8" t="n">
        <f aca="false">SUM(P5:P10)</f>
        <v>211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3:B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7" activeCellId="0" sqref="B7"/>
    </sheetView>
  </sheetViews>
  <sheetFormatPr defaultRowHeight="14.4" zeroHeight="false" outlineLevelRow="0" outlineLevelCol="0"/>
  <cols>
    <col collapsed="false" customWidth="true" hidden="false" outlineLevel="0" max="1" min="1" style="0" width="14"/>
    <col collapsed="false" customWidth="true" hidden="false" outlineLevel="0" max="2" min="2" style="0" width="11"/>
    <col collapsed="false" customWidth="true" hidden="false" outlineLevel="0" max="6" min="3" style="0" width="20.44"/>
    <col collapsed="false" customWidth="true" hidden="false" outlineLevel="0" max="1025" min="7" style="0" width="8.53"/>
  </cols>
  <sheetData>
    <row r="3" customFormat="false" ht="14.4" hidden="false" customHeight="false" outlineLevel="0" collapsed="false">
      <c r="A3" s="1" t="s">
        <v>37</v>
      </c>
    </row>
    <row r="4" customFormat="false" ht="14.4" hidden="false" customHeight="false" outlineLevel="0" collapsed="false">
      <c r="A4" s="3" t="s">
        <v>38</v>
      </c>
      <c r="B4" s="6" t="n">
        <v>12513916.6666667</v>
      </c>
    </row>
    <row r="5" customFormat="false" ht="14.4" hidden="false" customHeight="false" outlineLevel="0" collapsed="false">
      <c r="A5" s="3" t="s">
        <v>39</v>
      </c>
      <c r="B5" s="6" t="n">
        <v>22372566.6666667</v>
      </c>
    </row>
    <row r="6" customFormat="false" ht="14.4" hidden="false" customHeight="false" outlineLevel="0" collapsed="false">
      <c r="A6" s="3" t="s">
        <v>40</v>
      </c>
      <c r="B6" s="6" t="n">
        <v>21176858.3333333</v>
      </c>
    </row>
    <row r="7" customFormat="false" ht="14.4" hidden="false" customHeight="false" outlineLevel="0" collapsed="false">
      <c r="A7" s="3" t="s">
        <v>41</v>
      </c>
      <c r="B7" s="6" t="n">
        <v>20650275</v>
      </c>
    </row>
    <row r="8" customFormat="false" ht="14.4" hidden="false" customHeight="false" outlineLevel="0" collapsed="false">
      <c r="A8" s="3" t="s">
        <v>42</v>
      </c>
      <c r="B8" s="6" t="n">
        <v>9610941.66666667</v>
      </c>
    </row>
    <row r="9" customFormat="false" ht="14.4" hidden="false" customHeight="false" outlineLevel="0" collapsed="false">
      <c r="A9" s="3" t="s">
        <v>43</v>
      </c>
      <c r="B9" s="6" t="n">
        <v>8845941.66666667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sheetPr filterMode="false">
    <pageSetUpPr fitToPage="false"/>
  </sheetPr>
  <dimension ref="A3:B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RowHeight="14.4" zeroHeight="false" outlineLevelRow="0" outlineLevelCol="0"/>
  <cols>
    <col collapsed="false" customWidth="true" hidden="false" outlineLevel="0" max="1" min="1" style="0" width="12.55"/>
    <col collapsed="false" customWidth="true" hidden="false" outlineLevel="0" max="2" min="2" style="0" width="16.55"/>
    <col collapsed="false" customWidth="true" hidden="false" outlineLevel="0" max="4" min="3" style="0" width="12"/>
    <col collapsed="false" customWidth="true" hidden="false" outlineLevel="0" max="1025" min="5" style="0" width="8.53"/>
  </cols>
  <sheetData>
    <row r="3" customFormat="false" ht="14.4" hidden="false" customHeight="false" outlineLevel="0" collapsed="false">
      <c r="A3" s="1" t="s">
        <v>3</v>
      </c>
      <c r="B3" s="0" t="s">
        <v>44</v>
      </c>
    </row>
    <row r="4" customFormat="false" ht="14.4" hidden="false" customHeight="false" outlineLevel="0" collapsed="false">
      <c r="A4" s="3" t="s">
        <v>45</v>
      </c>
      <c r="B4" s="9" t="n">
        <v>35780000</v>
      </c>
    </row>
    <row r="5" customFormat="false" ht="14.4" hidden="false" customHeight="false" outlineLevel="0" collapsed="false">
      <c r="A5" s="3" t="s">
        <v>46</v>
      </c>
      <c r="B5" s="9" t="n">
        <v>59390500</v>
      </c>
    </row>
    <row r="6" customFormat="false" ht="14.4" hidden="false" customHeight="false" outlineLevel="0" collapsed="false">
      <c r="A6" s="3" t="s">
        <v>28</v>
      </c>
      <c r="B6" s="9" t="n">
        <v>95170500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sheetPr filterMode="false">
    <pageSetUpPr fitToPage="false"/>
  </sheetPr>
  <dimension ref="F4:U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4" zeroHeight="false" outlineLevelRow="0" outlineLevelCol="0"/>
  <cols>
    <col collapsed="false" customWidth="true" hidden="false" outlineLevel="0" max="1025" min="1" style="10" width="8.88"/>
  </cols>
  <sheetData>
    <row r="4" customFormat="false" ht="14.4" hidden="false" customHeight="true" outlineLevel="0" collapsed="false">
      <c r="F4" s="11" t="s">
        <v>47</v>
      </c>
      <c r="G4" s="11"/>
      <c r="H4" s="11"/>
      <c r="I4" s="11"/>
      <c r="J4" s="11"/>
      <c r="K4" s="11"/>
      <c r="L4" s="11"/>
      <c r="M4" s="11"/>
      <c r="N4" s="11"/>
      <c r="O4" s="11"/>
      <c r="P4" s="11"/>
      <c r="Q4" s="11"/>
      <c r="R4" s="11"/>
      <c r="S4" s="11"/>
      <c r="T4" s="11"/>
      <c r="U4" s="11"/>
    </row>
    <row r="5" customFormat="false" ht="14.4" hidden="false" customHeight="false" outlineLevel="0" collapsed="false">
      <c r="F5" s="11"/>
      <c r="G5" s="11"/>
      <c r="H5" s="11"/>
      <c r="I5" s="11"/>
      <c r="J5" s="11"/>
      <c r="K5" s="11"/>
      <c r="L5" s="11"/>
      <c r="M5" s="11"/>
      <c r="N5" s="11"/>
      <c r="O5" s="11"/>
      <c r="P5" s="11"/>
      <c r="Q5" s="11"/>
      <c r="R5" s="11"/>
      <c r="S5" s="11"/>
      <c r="T5" s="11"/>
      <c r="U5" s="11"/>
    </row>
    <row r="6" customFormat="false" ht="14.4" hidden="false" customHeight="false" outlineLevel="0" collapsed="false">
      <c r="F6" s="11"/>
      <c r="G6" s="11"/>
      <c r="H6" s="11"/>
      <c r="I6" s="11"/>
      <c r="J6" s="11"/>
      <c r="K6" s="11"/>
      <c r="L6" s="11"/>
      <c r="M6" s="11"/>
      <c r="N6" s="11"/>
      <c r="O6" s="11"/>
      <c r="P6" s="11"/>
      <c r="Q6" s="11"/>
      <c r="R6" s="11"/>
      <c r="S6" s="11"/>
      <c r="T6" s="11"/>
      <c r="U6" s="11"/>
    </row>
  </sheetData>
  <sheetProtection sheet="true" objects="true" scenarios="true"/>
  <mergeCells count="1">
    <mergeCell ref="F4:U6"/>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true"/>
  </sheetPr>
  <dimension ref="A1:BG1048576"/>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1" topLeftCell="A2" activePane="bottomLeft" state="frozen"/>
      <selection pane="topLeft" activeCell="A1" activeCellId="0" sqref="A1"/>
      <selection pane="bottomLeft" activeCell="C4" activeCellId="0" sqref="C4"/>
    </sheetView>
  </sheetViews>
  <sheetFormatPr defaultRowHeight="13.8" zeroHeight="false" outlineLevelRow="0" outlineLevelCol="0"/>
  <cols>
    <col collapsed="false" customWidth="true" hidden="false" outlineLevel="0" max="1" min="1" style="12" width="4.44"/>
    <col collapsed="false" customWidth="true" hidden="false" outlineLevel="0" max="2" min="2" style="12" width="15.66"/>
    <col collapsed="false" customWidth="true" hidden="false" outlineLevel="0" max="3" min="3" style="12" width="21.11"/>
    <col collapsed="false" customWidth="true" hidden="false" outlineLevel="0" max="4" min="4" style="12" width="66"/>
    <col collapsed="false" customWidth="true" hidden="false" outlineLevel="0" max="5" min="5" style="12" width="15"/>
    <col collapsed="false" customWidth="true" hidden="false" outlineLevel="0" max="7" min="6" style="12" width="12.66"/>
    <col collapsed="false" customWidth="true" hidden="false" outlineLevel="0" max="8" min="8" style="12" width="20.67"/>
    <col collapsed="false" customWidth="true" hidden="false" outlineLevel="0" max="9" min="9" style="12" width="12.66"/>
    <col collapsed="false" customWidth="true" hidden="false" outlineLevel="0" max="11" min="10" style="12" width="15.33"/>
    <col collapsed="false" customWidth="true" hidden="false" outlineLevel="0" max="12" min="12" style="12" width="17.44"/>
    <col collapsed="false" customWidth="true" hidden="false" outlineLevel="0" max="13" min="13" style="12" width="16.11"/>
    <col collapsed="false" customWidth="true" hidden="false" outlineLevel="0" max="14" min="14" style="12" width="53.55"/>
    <col collapsed="false" customWidth="true" hidden="false" outlineLevel="0" max="16" min="15" style="12" width="12.66"/>
    <col collapsed="false" customWidth="true" hidden="false" outlineLevel="0" max="17" min="17" style="12" width="14.55"/>
    <col collapsed="false" customWidth="true" hidden="false" outlineLevel="0" max="18" min="18" style="13" width="4.55"/>
    <col collapsed="false" customWidth="true" hidden="false" outlineLevel="0" max="20" min="19" style="13" width="4.66"/>
    <col collapsed="false" customWidth="true" hidden="false" outlineLevel="0" max="21" min="21" style="13" width="4.55"/>
    <col collapsed="false" customWidth="true" hidden="false" outlineLevel="0" max="22" min="22" style="13" width="5"/>
    <col collapsed="false" customWidth="true" hidden="false" outlineLevel="0" max="23" min="23" style="13" width="4.66"/>
    <col collapsed="false" customWidth="true" hidden="false" outlineLevel="0" max="24" min="24" style="13" width="3.89"/>
    <col collapsed="false" customWidth="true" hidden="false" outlineLevel="0" max="25" min="25" style="13" width="4.89"/>
    <col collapsed="false" customWidth="true" hidden="false" outlineLevel="0" max="26" min="26" style="13" width="5.79"/>
    <col collapsed="false" customWidth="true" hidden="false" outlineLevel="0" max="27" min="27" style="13" width="4.55"/>
    <col collapsed="false" customWidth="true" hidden="false" outlineLevel="0" max="28" min="28" style="13" width="4.89"/>
    <col collapsed="false" customWidth="true" hidden="false" outlineLevel="0" max="29" min="29" style="13" width="4.66"/>
    <col collapsed="false" customWidth="true" hidden="false" outlineLevel="0" max="30" min="30" style="13" width="4.79"/>
    <col collapsed="false" customWidth="true" hidden="false" outlineLevel="0" max="31" min="31" style="13" width="5.88"/>
    <col collapsed="false" customWidth="true" hidden="false" outlineLevel="0" max="32" min="32" style="13" width="5.11"/>
    <col collapsed="false" customWidth="true" hidden="false" outlineLevel="0" max="33" min="33" style="13" width="5.22"/>
    <col collapsed="false" customWidth="true" hidden="false" outlineLevel="0" max="34" min="34" style="13" width="5.66"/>
    <col collapsed="false" customWidth="true" hidden="false" outlineLevel="0" max="35" min="35" style="13" width="7.11"/>
    <col collapsed="false" customWidth="true" hidden="false" outlineLevel="0" max="41" min="36" style="12" width="13.66"/>
    <col collapsed="false" customWidth="true" hidden="false" outlineLevel="0" max="47" min="42" style="12" width="12.44"/>
    <col collapsed="false" customWidth="true" hidden="false" outlineLevel="0" max="48" min="48" style="13" width="10.78"/>
    <col collapsed="false" customWidth="true" hidden="false" outlineLevel="0" max="49" min="49" style="13" width="17.44"/>
    <col collapsed="false" customWidth="true" hidden="false" outlineLevel="0" max="50" min="50" style="13" width="11.33"/>
    <col collapsed="false" customWidth="true" hidden="false" outlineLevel="0" max="51" min="51" style="13" width="17.11"/>
    <col collapsed="false" customWidth="true" hidden="false" outlineLevel="0" max="52" min="52" style="13" width="11.33"/>
    <col collapsed="false" customWidth="true" hidden="false" outlineLevel="0" max="53" min="53" style="13" width="16"/>
    <col collapsed="false" customWidth="true" hidden="false" outlineLevel="0" max="54" min="54" style="13" width="11.33"/>
    <col collapsed="false" customWidth="true" hidden="false" outlineLevel="0" max="55" min="55" style="13" width="16.55"/>
    <col collapsed="false" customWidth="true" hidden="false" outlineLevel="0" max="56" min="56" style="13" width="11.33"/>
    <col collapsed="false" customWidth="true" hidden="false" outlineLevel="0" max="57" min="57" style="13" width="16.33"/>
    <col collapsed="false" customWidth="true" hidden="false" outlineLevel="0" max="58" min="58" style="13" width="11.33"/>
    <col collapsed="false" customWidth="true" hidden="false" outlineLevel="0" max="59" min="59" style="13" width="16.66"/>
    <col collapsed="false" customWidth="true" hidden="false" outlineLevel="0" max="1025" min="60" style="13" width="12.66"/>
  </cols>
  <sheetData>
    <row r="1" customFormat="false" ht="37.2" hidden="false" customHeight="true" outlineLevel="0" collapsed="false">
      <c r="A1" s="14" t="s">
        <v>47</v>
      </c>
      <c r="B1" s="14"/>
      <c r="C1" s="14"/>
      <c r="D1" s="14"/>
      <c r="E1" s="14"/>
      <c r="F1" s="14"/>
      <c r="G1" s="14"/>
      <c r="H1" s="14"/>
      <c r="I1" s="14"/>
      <c r="J1" s="14"/>
      <c r="K1" s="14"/>
      <c r="L1" s="14"/>
      <c r="M1" s="14"/>
      <c r="N1" s="14"/>
      <c r="O1" s="14"/>
      <c r="P1" s="14"/>
      <c r="Q1" s="14"/>
      <c r="R1" s="15"/>
      <c r="S1" s="15"/>
      <c r="T1" s="15"/>
      <c r="U1" s="15"/>
      <c r="V1" s="15"/>
      <c r="W1" s="15"/>
      <c r="X1" s="15"/>
      <c r="Y1" s="15"/>
      <c r="Z1" s="15"/>
      <c r="AA1" s="15"/>
      <c r="AB1" s="15"/>
      <c r="AC1" s="15"/>
      <c r="AD1" s="15"/>
      <c r="AE1" s="15"/>
      <c r="AF1" s="15"/>
      <c r="AG1" s="15"/>
      <c r="AH1" s="15"/>
      <c r="AI1" s="15"/>
      <c r="AJ1" s="14"/>
      <c r="AK1" s="14"/>
      <c r="AL1" s="14"/>
      <c r="AM1" s="14"/>
      <c r="AN1" s="14"/>
      <c r="AO1" s="14"/>
      <c r="AP1" s="14"/>
      <c r="AQ1" s="14"/>
      <c r="AR1" s="14"/>
      <c r="AS1" s="14"/>
      <c r="AT1" s="14"/>
      <c r="AU1" s="14"/>
      <c r="AV1" s="15"/>
      <c r="AW1" s="15"/>
      <c r="AX1" s="15"/>
      <c r="AY1" s="15"/>
      <c r="AZ1" s="15"/>
      <c r="BA1" s="15"/>
      <c r="BB1" s="15"/>
      <c r="BC1" s="15"/>
      <c r="BD1" s="15"/>
      <c r="BE1" s="15"/>
      <c r="BF1" s="15"/>
      <c r="BG1" s="15"/>
    </row>
    <row r="2" customFormat="false" ht="77.6" hidden="false" customHeight="false" outlineLevel="0" collapsed="false">
      <c r="A2" s="16" t="s">
        <v>48</v>
      </c>
      <c r="B2" s="16" t="s">
        <v>49</v>
      </c>
      <c r="C2" s="16" t="s">
        <v>50</v>
      </c>
      <c r="D2" s="16" t="s">
        <v>51</v>
      </c>
      <c r="E2" s="16" t="s">
        <v>52</v>
      </c>
      <c r="F2" s="16" t="s">
        <v>53</v>
      </c>
      <c r="G2" s="16" t="s">
        <v>54</v>
      </c>
      <c r="H2" s="16" t="s">
        <v>55</v>
      </c>
      <c r="I2" s="16" t="s">
        <v>56</v>
      </c>
      <c r="J2" s="16" t="s">
        <v>57</v>
      </c>
      <c r="K2" s="16" t="s">
        <v>58</v>
      </c>
      <c r="L2" s="16" t="s">
        <v>59</v>
      </c>
      <c r="M2" s="16" t="s">
        <v>60</v>
      </c>
      <c r="N2" s="16" t="s">
        <v>61</v>
      </c>
      <c r="O2" s="16" t="s">
        <v>62</v>
      </c>
      <c r="P2" s="16" t="s">
        <v>63</v>
      </c>
      <c r="Q2" s="16" t="s">
        <v>64</v>
      </c>
      <c r="R2" s="17" t="s">
        <v>65</v>
      </c>
      <c r="S2" s="17" t="s">
        <v>66</v>
      </c>
      <c r="T2" s="17" t="s">
        <v>67</v>
      </c>
      <c r="U2" s="17" t="s">
        <v>68</v>
      </c>
      <c r="V2" s="17" t="s">
        <v>69</v>
      </c>
      <c r="W2" s="17" t="s">
        <v>70</v>
      </c>
      <c r="X2" s="17" t="s">
        <v>71</v>
      </c>
      <c r="Y2" s="17" t="s">
        <v>72</v>
      </c>
      <c r="Z2" s="17" t="s">
        <v>73</v>
      </c>
      <c r="AA2" s="17" t="s">
        <v>74</v>
      </c>
      <c r="AB2" s="17" t="s">
        <v>75</v>
      </c>
      <c r="AC2" s="17" t="s">
        <v>76</v>
      </c>
      <c r="AD2" s="17" t="s">
        <v>77</v>
      </c>
      <c r="AE2" s="17" t="s">
        <v>78</v>
      </c>
      <c r="AF2" s="17" t="s">
        <v>79</v>
      </c>
      <c r="AG2" s="17" t="s">
        <v>80</v>
      </c>
      <c r="AH2" s="17" t="s">
        <v>81</v>
      </c>
      <c r="AI2" s="17" t="s">
        <v>82</v>
      </c>
      <c r="AJ2" s="18" t="s">
        <v>83</v>
      </c>
      <c r="AK2" s="18" t="s">
        <v>84</v>
      </c>
      <c r="AL2" s="18" t="s">
        <v>85</v>
      </c>
      <c r="AM2" s="18" t="s">
        <v>86</v>
      </c>
      <c r="AN2" s="18" t="s">
        <v>87</v>
      </c>
      <c r="AO2" s="18" t="s">
        <v>88</v>
      </c>
      <c r="AP2" s="18" t="s">
        <v>89</v>
      </c>
      <c r="AQ2" s="18" t="s">
        <v>90</v>
      </c>
      <c r="AR2" s="18" t="s">
        <v>91</v>
      </c>
      <c r="AS2" s="18" t="s">
        <v>92</v>
      </c>
      <c r="AT2" s="18" t="s">
        <v>93</v>
      </c>
      <c r="AU2" s="18" t="s">
        <v>94</v>
      </c>
      <c r="AV2" s="19" t="s">
        <v>95</v>
      </c>
      <c r="AW2" s="19" t="s">
        <v>96</v>
      </c>
      <c r="AX2" s="19" t="s">
        <v>97</v>
      </c>
      <c r="AY2" s="19" t="s">
        <v>98</v>
      </c>
      <c r="AZ2" s="19" t="s">
        <v>99</v>
      </c>
      <c r="BA2" s="19" t="s">
        <v>100</v>
      </c>
      <c r="BB2" s="19" t="s">
        <v>101</v>
      </c>
      <c r="BC2" s="19" t="s">
        <v>102</v>
      </c>
      <c r="BD2" s="19" t="s">
        <v>103</v>
      </c>
      <c r="BE2" s="19" t="s">
        <v>104</v>
      </c>
      <c r="BF2" s="19" t="s">
        <v>105</v>
      </c>
      <c r="BG2" s="19" t="s">
        <v>106</v>
      </c>
    </row>
    <row r="3" customFormat="false" ht="64.9" hidden="false" customHeight="false" outlineLevel="0" collapsed="false">
      <c r="A3" s="20" t="n">
        <v>1</v>
      </c>
      <c r="B3" s="20" t="s">
        <v>9</v>
      </c>
      <c r="C3" s="20" t="s">
        <v>107</v>
      </c>
      <c r="D3" s="20" t="s">
        <v>108</v>
      </c>
      <c r="E3" s="20" t="s">
        <v>45</v>
      </c>
      <c r="F3" s="21" t="s">
        <v>4</v>
      </c>
      <c r="G3" s="21" t="s">
        <v>109</v>
      </c>
      <c r="H3" s="21" t="s">
        <v>110</v>
      </c>
      <c r="I3" s="22" t="s">
        <v>111</v>
      </c>
      <c r="J3" s="23" t="s">
        <v>27</v>
      </c>
      <c r="K3" s="23" t="s">
        <v>16</v>
      </c>
      <c r="L3" s="24" t="n">
        <f aca="false">M3*3600</f>
        <v>7200000000</v>
      </c>
      <c r="M3" s="25" t="n">
        <v>2000000</v>
      </c>
      <c r="N3" s="21"/>
      <c r="O3" s="21" t="s">
        <v>112</v>
      </c>
      <c r="P3" s="21" t="s">
        <v>113</v>
      </c>
      <c r="Q3" s="21"/>
      <c r="R3" s="26"/>
      <c r="S3" s="26"/>
      <c r="T3" s="26"/>
      <c r="U3" s="26"/>
      <c r="V3" s="26"/>
      <c r="W3" s="26"/>
      <c r="X3" s="26" t="n">
        <v>1</v>
      </c>
      <c r="Y3" s="27" t="n">
        <v>1</v>
      </c>
      <c r="Z3" s="27" t="n">
        <v>1</v>
      </c>
      <c r="AA3" s="26"/>
      <c r="AB3" s="27" t="n">
        <v>1</v>
      </c>
      <c r="AC3" s="27" t="n">
        <v>1</v>
      </c>
      <c r="AD3" s="26"/>
      <c r="AE3" s="27" t="n">
        <v>1</v>
      </c>
      <c r="AF3" s="27" t="n">
        <v>1</v>
      </c>
      <c r="AG3" s="26"/>
      <c r="AH3" s="27" t="n">
        <v>1</v>
      </c>
      <c r="AI3" s="26"/>
      <c r="AJ3" s="22" t="n">
        <f aca="false">IF(SUM(R3:T3)&gt;0,1,0)</f>
        <v>0</v>
      </c>
      <c r="AK3" s="22" t="n">
        <f aca="false">IF(SUM(U3:W3)&gt;0,1,0)</f>
        <v>0</v>
      </c>
      <c r="AL3" s="22" t="n">
        <f aca="false">IF(SUM(X3:Z3)&gt;0,1,0)</f>
        <v>1</v>
      </c>
      <c r="AM3" s="22" t="n">
        <f aca="false">IF(SUM(AA3:AC3)&gt;0,1,0)</f>
        <v>1</v>
      </c>
      <c r="AN3" s="22" t="n">
        <f aca="false">IF(SUM(AD3:AF3)&gt;0,1,0)</f>
        <v>1</v>
      </c>
      <c r="AO3" s="22" t="n">
        <f aca="false">IF(SUM(AG3:AI3)&gt;0,1,0)</f>
        <v>1</v>
      </c>
      <c r="AP3" s="28" t="n">
        <f aca="false">IF(AND(AJ3=1,SUM($AJ3:$AO3)=6),$M3/6,IF(AND(AJ3=1,SUM($AJ3:$AO3)=5),$M3/5,IF(AND(AJ3=1,SUM($AJ3:$AO3)=4),$M3/4,IF(AND(AJ3=1,SUM($AJ3:$AO3)=3),$M3/3,IF(AND(AJ3=1,SUM($AJ3:$AO3)=2),$M3/2,IF(AND(AJ3=1,SUM($AJ3:$AO3)=1),$M3,0))))))</f>
        <v>0</v>
      </c>
      <c r="AQ3" s="28" t="n">
        <f aca="false">IF(AND(AK3=1,SUM($AJ3:$AO3)=6),$M3/6,IF(AND(AK3=1,SUM($AJ3:$AO3)=5),$M3/5,IF(AND(AK3=1,SUM($AJ3:$AO3)=4),$M3/4,IF(AND(AK3=1,SUM($AJ3:$AO3)=3),$M3/3,IF(AND(AK3=1,SUM($AJ3:$AO3)=2),$M3/2,IF(AND(AK3=1,SUM($AJ3:$AO3)=1),$M3,0))))))</f>
        <v>0</v>
      </c>
      <c r="AR3" s="28" t="n">
        <f aca="false">IF(AND(AL3=1,SUM($AJ3:$AO3)=6),$M3/6,IF(AND(AL3=1,SUM($AJ3:$AO3)=5),$M3/5,IF(AND(AL3=1,SUM($AJ3:$AO3)=4),$M3/4,IF(AND(AL3=1,SUM($AJ3:$AO3)=3),$M3/3,IF(AND(AL3=1,SUM($AJ3:$AO3)=2),$M3/2,IF(AND(AL3=1,SUM($AJ3:$AO3)=1),$M3,0))))))</f>
        <v>500000</v>
      </c>
      <c r="AS3" s="28" t="n">
        <f aca="false">IF(AND(AM3=1,SUM($AJ3:$AO3)=6),$M3/6,IF(AND(AM3=1,SUM($AJ3:$AO3)=5),$M3/5,IF(AND(AM3=1,SUM($AJ3:$AO3)=4),$M3/4,IF(AND(AM3=1,SUM($AJ3:$AO3)=3),$M3/3,IF(AND(AM3=1,SUM($AJ3:$AO3)=2),$M3/2,IF(AND(AM3=1,SUM($AJ3:$AO3)=1),$M3,0))))))</f>
        <v>500000</v>
      </c>
      <c r="AT3" s="28" t="n">
        <f aca="false">IF(AND(AN3=1,SUM($AJ3:$AO3)=6),$M3/6,IF(AND(AN3=1,SUM($AJ3:$AO3)=5),$M3/5,IF(AND(AN3=1,SUM($AJ3:$AO3)=4),$M3/4,IF(AND(AN3=1,SUM($AJ3:$AO3)=3),$M3/3,IF(AND(AN3=1,SUM($AJ3:$AO3)=2),$M3/2,IF(AND(AN3=1,SUM($AJ3:$AO3)=1),$M3,0))))))</f>
        <v>500000</v>
      </c>
      <c r="AU3" s="28" t="n">
        <f aca="false">IF(AND(AO3=1,SUM($AJ3:$AO3)=6),$M3/6,IF(AND(AO3=1,SUM($AJ3:$AO3)=5),$M3/5,IF(AND(AO3=1,SUM($AJ3:$AO3)=4),$M3/4,IF(AND(AO3=1,SUM($AJ3:$AO3)=3),$M3/3,IF(AND(AO3=1,SUM($AJ3:$AO3)=2),$M3/2,IF(AND(AO3=1,SUM($AJ3:$AO3)=1),$M3,0))))))</f>
        <v>500000</v>
      </c>
      <c r="AV3" s="29" t="s">
        <v>114</v>
      </c>
      <c r="AW3" s="29" t="s">
        <v>115</v>
      </c>
      <c r="AX3" s="29" t="s">
        <v>116</v>
      </c>
      <c r="AY3" s="30"/>
      <c r="AZ3" s="29" t="s">
        <v>117</v>
      </c>
      <c r="BA3" s="30"/>
      <c r="BB3" s="29" t="s">
        <v>116</v>
      </c>
      <c r="BC3" s="30"/>
      <c r="BD3" s="29" t="s">
        <v>117</v>
      </c>
      <c r="BE3" s="29" t="s">
        <v>118</v>
      </c>
      <c r="BF3" s="29" t="s">
        <v>117</v>
      </c>
      <c r="BG3" s="30" t="s">
        <v>119</v>
      </c>
    </row>
    <row r="4" customFormat="false" ht="39.55" hidden="false" customHeight="false" outlineLevel="0" collapsed="false">
      <c r="A4" s="20" t="n">
        <v>2</v>
      </c>
      <c r="B4" s="20" t="s">
        <v>9</v>
      </c>
      <c r="C4" s="20" t="s">
        <v>107</v>
      </c>
      <c r="D4" s="20" t="s">
        <v>120</v>
      </c>
      <c r="E4" s="20" t="s">
        <v>46</v>
      </c>
      <c r="F4" s="21" t="s">
        <v>4</v>
      </c>
      <c r="G4" s="21" t="s">
        <v>109</v>
      </c>
      <c r="H4" s="21" t="s">
        <v>121</v>
      </c>
      <c r="I4" s="22" t="s">
        <v>111</v>
      </c>
      <c r="J4" s="22" t="s">
        <v>16</v>
      </c>
      <c r="K4" s="23" t="s">
        <v>122</v>
      </c>
      <c r="L4" s="24" t="n">
        <f aca="false">M4*3600</f>
        <v>10801800000</v>
      </c>
      <c r="M4" s="25" t="n">
        <v>3000500</v>
      </c>
      <c r="N4" s="21"/>
      <c r="O4" s="31" t="s">
        <v>123</v>
      </c>
      <c r="P4" s="21" t="s">
        <v>124</v>
      </c>
      <c r="Q4" s="21"/>
      <c r="R4" s="26"/>
      <c r="S4" s="26"/>
      <c r="T4" s="26"/>
      <c r="U4" s="26"/>
      <c r="V4" s="26"/>
      <c r="W4" s="26"/>
      <c r="X4" s="26"/>
      <c r="Y4" s="26"/>
      <c r="Z4" s="26"/>
      <c r="AA4" s="26"/>
      <c r="AB4" s="26"/>
      <c r="AC4" s="26"/>
      <c r="AD4" s="26"/>
      <c r="AE4" s="26"/>
      <c r="AF4" s="27" t="n">
        <v>1</v>
      </c>
      <c r="AG4" s="26"/>
      <c r="AH4" s="26"/>
      <c r="AI4" s="26"/>
      <c r="AJ4" s="22" t="n">
        <f aca="false">IF(SUM(R4:T4)&gt;0,1,0)</f>
        <v>0</v>
      </c>
      <c r="AK4" s="22" t="n">
        <f aca="false">IF(SUM(U4:W4)&gt;0,1,0)</f>
        <v>0</v>
      </c>
      <c r="AL4" s="22" t="n">
        <f aca="false">IF(SUM(X4:Z4)&gt;0,1,0)</f>
        <v>0</v>
      </c>
      <c r="AM4" s="22" t="n">
        <f aca="false">IF(SUM(AA4:AC4)&gt;0,1,0)</f>
        <v>0</v>
      </c>
      <c r="AN4" s="22" t="n">
        <f aca="false">IF(SUM(AD4:AF4)&gt;0,1,0)</f>
        <v>1</v>
      </c>
      <c r="AO4" s="22" t="n">
        <f aca="false">IF(SUM(AG4:AI4)&gt;0,1,0)</f>
        <v>0</v>
      </c>
      <c r="AP4" s="28" t="n">
        <f aca="false">IF(AND(AJ4=1,SUM($AJ4:$AO4)=6),$M4/6,IF(AND(AJ4=1,SUM($AJ4:$AO4)=5),$M4/5,IF(AND(AJ4=1,SUM($AJ4:$AO4)=4),$M4/4,IF(AND(AJ4=1,SUM($AJ4:$AO4)=3),$M4/3,IF(AND(AJ4=1,SUM($AJ4:$AO4)=2),$M4/2,IF(AND(AJ4=1,SUM($AJ4:$AO4)=1),$M4,0))))))</f>
        <v>0</v>
      </c>
      <c r="AQ4" s="28" t="n">
        <f aca="false">IF(AND(AK4=1,SUM($AJ4:$AO4)=6),$M4/6,IF(AND(AK4=1,SUM($AJ4:$AO4)=5),$M4/5,IF(AND(AK4=1,SUM($AJ4:$AO4)=4),$M4/4,IF(AND(AK4=1,SUM($AJ4:$AO4)=3),$M4/3,IF(AND(AK4=1,SUM($AJ4:$AO4)=2),$M4/2,IF(AND(AK4=1,SUM($AJ4:$AO4)=1),$M4,0))))))</f>
        <v>0</v>
      </c>
      <c r="AR4" s="28" t="n">
        <f aca="false">IF(AND(AL4=1,SUM($AJ4:$AO4)=6),$M4/6,IF(AND(AL4=1,SUM($AJ4:$AO4)=5),$M4/5,IF(AND(AL4=1,SUM($AJ4:$AO4)=4),$M4/4,IF(AND(AL4=1,SUM($AJ4:$AO4)=3),$M4/3,IF(AND(AL4=1,SUM($AJ4:$AO4)=2),$M4/2,IF(AND(AL4=1,SUM($AJ4:$AO4)=1),$M4,0))))))</f>
        <v>0</v>
      </c>
      <c r="AS4" s="28" t="n">
        <f aca="false">IF(AND(AM4=1,SUM($AJ4:$AO4)=6),$M4/6,IF(AND(AM4=1,SUM($AJ4:$AO4)=5),$M4/5,IF(AND(AM4=1,SUM($AJ4:$AO4)=4),$M4/4,IF(AND(AM4=1,SUM($AJ4:$AO4)=3),$M4/3,IF(AND(AM4=1,SUM($AJ4:$AO4)=2),$M4/2,IF(AND(AM4=1,SUM($AJ4:$AO4)=1),$M4,0))))))</f>
        <v>0</v>
      </c>
      <c r="AT4" s="28" t="n">
        <f aca="false">IF(AND(AN4=1,SUM($AJ4:$AO4)=6),$M4/6,IF(AND(AN4=1,SUM($AJ4:$AO4)=5),$M4/5,IF(AND(AN4=1,SUM($AJ4:$AO4)=4),$M4/4,IF(AND(AN4=1,SUM($AJ4:$AO4)=3),$M4/3,IF(AND(AN4=1,SUM($AJ4:$AO4)=2),$M4/2,IF(AND(AN4=1,SUM($AJ4:$AO4)=1),$M4,0))))))</f>
        <v>3000500</v>
      </c>
      <c r="AU4" s="28" t="n">
        <f aca="false">IF(AND(AO4=1,SUM($AJ4:$AO4)=6),$M4/6,IF(AND(AO4=1,SUM($AJ4:$AO4)=5),$M4/5,IF(AND(AO4=1,SUM($AJ4:$AO4)=4),$M4/4,IF(AND(AO4=1,SUM($AJ4:$AO4)=3),$M4/3,IF(AND(AO4=1,SUM($AJ4:$AO4)=2),$M4/2,IF(AND(AO4=1,SUM($AJ4:$AO4)=1),$M4,0))))))</f>
        <v>0</v>
      </c>
      <c r="AV4" s="29" t="s">
        <v>114</v>
      </c>
      <c r="AW4" s="29" t="s">
        <v>125</v>
      </c>
      <c r="AX4" s="29" t="s">
        <v>116</v>
      </c>
      <c r="AY4" s="30"/>
      <c r="AZ4" s="29" t="s">
        <v>117</v>
      </c>
      <c r="BA4" s="30"/>
      <c r="BB4" s="29" t="s">
        <v>116</v>
      </c>
      <c r="BC4" s="30"/>
      <c r="BD4" s="29" t="s">
        <v>117</v>
      </c>
      <c r="BE4" s="29" t="s">
        <v>126</v>
      </c>
      <c r="BF4" s="29" t="s">
        <v>117</v>
      </c>
      <c r="BG4" s="30" t="s">
        <v>119</v>
      </c>
    </row>
    <row r="5" customFormat="false" ht="39.55" hidden="false" customHeight="false" outlineLevel="0" collapsed="false">
      <c r="A5" s="20" t="n">
        <v>3</v>
      </c>
      <c r="B5" s="20" t="s">
        <v>9</v>
      </c>
      <c r="C5" s="32" t="s">
        <v>127</v>
      </c>
      <c r="D5" s="33" t="s">
        <v>128</v>
      </c>
      <c r="E5" s="33" t="s">
        <v>45</v>
      </c>
      <c r="F5" s="21" t="s">
        <v>4</v>
      </c>
      <c r="G5" s="21" t="s">
        <v>109</v>
      </c>
      <c r="H5" s="21" t="s">
        <v>129</v>
      </c>
      <c r="I5" s="22" t="s">
        <v>111</v>
      </c>
      <c r="J5" s="22" t="s">
        <v>16</v>
      </c>
      <c r="K5" s="23" t="s">
        <v>130</v>
      </c>
      <c r="L5" s="24" t="n">
        <f aca="false">M5*3600</f>
        <v>3603600000</v>
      </c>
      <c r="M5" s="25" t="n">
        <v>1001000</v>
      </c>
      <c r="N5" s="21" t="s">
        <v>131</v>
      </c>
      <c r="O5" s="21" t="s">
        <v>132</v>
      </c>
      <c r="P5" s="21" t="s">
        <v>133</v>
      </c>
      <c r="Q5" s="21" t="s">
        <v>134</v>
      </c>
      <c r="R5" s="27" t="n">
        <v>1</v>
      </c>
      <c r="S5" s="27" t="n">
        <v>1</v>
      </c>
      <c r="T5" s="27" t="n">
        <v>1</v>
      </c>
      <c r="U5" s="27" t="n">
        <v>1</v>
      </c>
      <c r="V5" s="27" t="n">
        <v>1</v>
      </c>
      <c r="W5" s="27" t="n">
        <v>1</v>
      </c>
      <c r="X5" s="26"/>
      <c r="Y5" s="26"/>
      <c r="Z5" s="26"/>
      <c r="AA5" s="26"/>
      <c r="AB5" s="26"/>
      <c r="AC5" s="26"/>
      <c r="AD5" s="26"/>
      <c r="AE5" s="26"/>
      <c r="AF5" s="26"/>
      <c r="AG5" s="26"/>
      <c r="AH5" s="26"/>
      <c r="AI5" s="26"/>
      <c r="AJ5" s="22" t="n">
        <f aca="false">IF(SUM(R5:T5)&gt;0,1,0)</f>
        <v>1</v>
      </c>
      <c r="AK5" s="22" t="n">
        <f aca="false">IF(SUM(U5:W5)&gt;0,1,0)</f>
        <v>1</v>
      </c>
      <c r="AL5" s="22" t="n">
        <f aca="false">IF(SUM(X5:Z5)&gt;0,1,0)</f>
        <v>0</v>
      </c>
      <c r="AM5" s="22" t="n">
        <f aca="false">IF(SUM(AA5:AC5)&gt;0,1,0)</f>
        <v>0</v>
      </c>
      <c r="AN5" s="22" t="n">
        <f aca="false">IF(SUM(AD5:AF5)&gt;0,1,0)</f>
        <v>0</v>
      </c>
      <c r="AO5" s="22" t="n">
        <f aca="false">IF(SUM(AG5:AI5)&gt;0,1,0)</f>
        <v>0</v>
      </c>
      <c r="AP5" s="28" t="n">
        <f aca="false">IF(AND(AJ5=1,SUM($AJ5:$AO5)=6),$M5/6,IF(AND(AJ5=1,SUM($AJ5:$AO5)=5),$M5/5,IF(AND(AJ5=1,SUM($AJ5:$AO5)=4),$M5/4,IF(AND(AJ5=1,SUM($AJ5:$AO5)=3),$M5/3,IF(AND(AJ5=1,SUM($AJ5:$AO5)=2),$M5/2,IF(AND(AJ5=1,SUM($AJ5:$AO5)=1),$M5,0))))))</f>
        <v>500500</v>
      </c>
      <c r="AQ5" s="28" t="n">
        <f aca="false">IF(AND(AK5=1,SUM($AJ5:$AO5)=6),$M5/6,IF(AND(AK5=1,SUM($AJ5:$AO5)=5),$M5/5,IF(AND(AK5=1,SUM($AJ5:$AO5)=4),$M5/4,IF(AND(AK5=1,SUM($AJ5:$AO5)=3),$M5/3,IF(AND(AK5=1,SUM($AJ5:$AO5)=2),$M5/2,IF(AND(AK5=1,SUM($AJ5:$AO5)=1),$M5,0))))))</f>
        <v>500500</v>
      </c>
      <c r="AR5" s="28" t="n">
        <f aca="false">IF(AND(AL5=1,SUM($AJ5:$AO5)=6),$M5/6,IF(AND(AL5=1,SUM($AJ5:$AO5)=5),$M5/5,IF(AND(AL5=1,SUM($AJ5:$AO5)=4),$M5/4,IF(AND(AL5=1,SUM($AJ5:$AO5)=3),$M5/3,IF(AND(AL5=1,SUM($AJ5:$AO5)=2),$M5/2,IF(AND(AL5=1,SUM($AJ5:$AO5)=1),$M5,0))))))</f>
        <v>0</v>
      </c>
      <c r="AS5" s="28" t="n">
        <f aca="false">IF(AND(AM5=1,SUM($AJ5:$AO5)=6),$M5/6,IF(AND(AM5=1,SUM($AJ5:$AO5)=5),$M5/5,IF(AND(AM5=1,SUM($AJ5:$AO5)=4),$M5/4,IF(AND(AM5=1,SUM($AJ5:$AO5)=3),$M5/3,IF(AND(AM5=1,SUM($AJ5:$AO5)=2),$M5/2,IF(AND(AM5=1,SUM($AJ5:$AO5)=1),$M5,0))))))</f>
        <v>0</v>
      </c>
      <c r="AT5" s="28" t="n">
        <f aca="false">IF(AND(AN5=1,SUM($AJ5:$AO5)=6),$M5/6,IF(AND(AN5=1,SUM($AJ5:$AO5)=5),$M5/5,IF(AND(AN5=1,SUM($AJ5:$AO5)=4),$M5/4,IF(AND(AN5=1,SUM($AJ5:$AO5)=3),$M5/3,IF(AND(AN5=1,SUM($AJ5:$AO5)=2),$M5/2,IF(AND(AN5=1,SUM($AJ5:$AO5)=1),$M5,0))))))</f>
        <v>0</v>
      </c>
      <c r="AU5" s="28" t="n">
        <f aca="false">IF(AND(AO5=1,SUM($AJ5:$AO5)=6),$M5/6,IF(AND(AO5=1,SUM($AJ5:$AO5)=5),$M5/5,IF(AND(AO5=1,SUM($AJ5:$AO5)=4),$M5/4,IF(AND(AO5=1,SUM($AJ5:$AO5)=3),$M5/3,IF(AND(AO5=1,SUM($AJ5:$AO5)=2),$M5/2,IF(AND(AO5=1,SUM($AJ5:$AO5)=1),$M5,0))))))</f>
        <v>0</v>
      </c>
      <c r="AV5" s="29" t="s">
        <v>114</v>
      </c>
      <c r="AW5" s="29" t="s">
        <v>135</v>
      </c>
      <c r="AX5" s="29" t="s">
        <v>116</v>
      </c>
      <c r="AY5" s="30"/>
      <c r="AZ5" s="29" t="s">
        <v>117</v>
      </c>
      <c r="BA5" s="30"/>
      <c r="BB5" s="29" t="s">
        <v>116</v>
      </c>
      <c r="BC5" s="30"/>
      <c r="BD5" s="29" t="s">
        <v>117</v>
      </c>
      <c r="BE5" s="29" t="s">
        <v>136</v>
      </c>
      <c r="BF5" s="29" t="s">
        <v>117</v>
      </c>
      <c r="BG5" s="30" t="s">
        <v>119</v>
      </c>
    </row>
    <row r="6" customFormat="false" ht="39.55" hidden="false" customHeight="false" outlineLevel="0" collapsed="false">
      <c r="A6" s="20" t="n">
        <v>4</v>
      </c>
      <c r="B6" s="20" t="s">
        <v>9</v>
      </c>
      <c r="C6" s="32" t="s">
        <v>127</v>
      </c>
      <c r="D6" s="32" t="s">
        <v>137</v>
      </c>
      <c r="E6" s="32" t="s">
        <v>45</v>
      </c>
      <c r="F6" s="21" t="s">
        <v>4</v>
      </c>
      <c r="G6" s="21" t="s">
        <v>109</v>
      </c>
      <c r="H6" s="21" t="s">
        <v>138</v>
      </c>
      <c r="I6" s="22" t="s">
        <v>111</v>
      </c>
      <c r="J6" s="22" t="s">
        <v>16</v>
      </c>
      <c r="K6" s="23" t="s">
        <v>16</v>
      </c>
      <c r="L6" s="24" t="n">
        <f aca="false">M6*3600</f>
        <v>3605400000</v>
      </c>
      <c r="M6" s="25" t="n">
        <v>1001500</v>
      </c>
      <c r="N6" s="21" t="s">
        <v>139</v>
      </c>
      <c r="O6" s="21" t="s">
        <v>132</v>
      </c>
      <c r="P6" s="21" t="s">
        <v>133</v>
      </c>
      <c r="Q6" s="21" t="s">
        <v>22</v>
      </c>
      <c r="R6" s="27" t="n">
        <v>1</v>
      </c>
      <c r="S6" s="27" t="n">
        <v>1</v>
      </c>
      <c r="T6" s="27" t="n">
        <v>1</v>
      </c>
      <c r="U6" s="27" t="n">
        <v>1</v>
      </c>
      <c r="V6" s="27" t="n">
        <v>1</v>
      </c>
      <c r="W6" s="27" t="n">
        <v>1</v>
      </c>
      <c r="X6" s="26"/>
      <c r="Y6" s="26"/>
      <c r="Z6" s="26"/>
      <c r="AA6" s="26"/>
      <c r="AB6" s="26"/>
      <c r="AC6" s="26"/>
      <c r="AD6" s="26"/>
      <c r="AE6" s="26"/>
      <c r="AF6" s="26"/>
      <c r="AG6" s="26"/>
      <c r="AH6" s="26"/>
      <c r="AI6" s="26"/>
      <c r="AJ6" s="22" t="n">
        <f aca="false">IF(SUM(R6:T6)&gt;0,1,0)</f>
        <v>1</v>
      </c>
      <c r="AK6" s="22" t="n">
        <f aca="false">IF(SUM(U6:W6)&gt;0,1,0)</f>
        <v>1</v>
      </c>
      <c r="AL6" s="22" t="n">
        <f aca="false">IF(SUM(X6:Z6)&gt;0,1,0)</f>
        <v>0</v>
      </c>
      <c r="AM6" s="22" t="n">
        <f aca="false">IF(SUM(AA6:AC6)&gt;0,1,0)</f>
        <v>0</v>
      </c>
      <c r="AN6" s="22" t="n">
        <f aca="false">IF(SUM(AD6:AF6)&gt;0,1,0)</f>
        <v>0</v>
      </c>
      <c r="AO6" s="22" t="n">
        <f aca="false">IF(SUM(AG6:AI6)&gt;0,1,0)</f>
        <v>0</v>
      </c>
      <c r="AP6" s="28" t="n">
        <f aca="false">IF(AND(AJ6=1,SUM($AJ6:$AO6)=6),$M6/6,IF(AND(AJ6=1,SUM($AJ6:$AO6)=5),$M6/5,IF(AND(AJ6=1,SUM($AJ6:$AO6)=4),$M6/4,IF(AND(AJ6=1,SUM($AJ6:$AO6)=3),$M6/3,IF(AND(AJ6=1,SUM($AJ6:$AO6)=2),$M6/2,IF(AND(AJ6=1,SUM($AJ6:$AO6)=1),$M6,0))))))</f>
        <v>500750</v>
      </c>
      <c r="AQ6" s="28" t="n">
        <f aca="false">IF(AND(AK6=1,SUM($AJ6:$AO6)=6),$M6/6,IF(AND(AK6=1,SUM($AJ6:$AO6)=5),$M6/5,IF(AND(AK6=1,SUM($AJ6:$AO6)=4),$M6/4,IF(AND(AK6=1,SUM($AJ6:$AO6)=3),$M6/3,IF(AND(AK6=1,SUM($AJ6:$AO6)=2),$M6/2,IF(AND(AK6=1,SUM($AJ6:$AO6)=1),$M6,0))))))</f>
        <v>500750</v>
      </c>
      <c r="AR6" s="28" t="n">
        <f aca="false">IF(AND(AL6=1,SUM($AJ6:$AO6)=6),$M6/6,IF(AND(AL6=1,SUM($AJ6:$AO6)=5),$M6/5,IF(AND(AL6=1,SUM($AJ6:$AO6)=4),$M6/4,IF(AND(AL6=1,SUM($AJ6:$AO6)=3),$M6/3,IF(AND(AL6=1,SUM($AJ6:$AO6)=2),$M6/2,IF(AND(AL6=1,SUM($AJ6:$AO6)=1),$M6,0))))))</f>
        <v>0</v>
      </c>
      <c r="AS6" s="28" t="n">
        <f aca="false">IF(AND(AM6=1,SUM($AJ6:$AO6)=6),$M6/6,IF(AND(AM6=1,SUM($AJ6:$AO6)=5),$M6/5,IF(AND(AM6=1,SUM($AJ6:$AO6)=4),$M6/4,IF(AND(AM6=1,SUM($AJ6:$AO6)=3),$M6/3,IF(AND(AM6=1,SUM($AJ6:$AO6)=2),$M6/2,IF(AND(AM6=1,SUM($AJ6:$AO6)=1),$M6,0))))))</f>
        <v>0</v>
      </c>
      <c r="AT6" s="28" t="n">
        <f aca="false">IF(AND(AN6=1,SUM($AJ6:$AO6)=6),$M6/6,IF(AND(AN6=1,SUM($AJ6:$AO6)=5),$M6/5,IF(AND(AN6=1,SUM($AJ6:$AO6)=4),$M6/4,IF(AND(AN6=1,SUM($AJ6:$AO6)=3),$M6/3,IF(AND(AN6=1,SUM($AJ6:$AO6)=2),$M6/2,IF(AND(AN6=1,SUM($AJ6:$AO6)=1),$M6,0))))))</f>
        <v>0</v>
      </c>
      <c r="AU6" s="28" t="n">
        <f aca="false">IF(AND(AO6=1,SUM($AJ6:$AO6)=6),$M6/6,IF(AND(AO6=1,SUM($AJ6:$AO6)=5),$M6/5,IF(AND(AO6=1,SUM($AJ6:$AO6)=4),$M6/4,IF(AND(AO6=1,SUM($AJ6:$AO6)=3),$M6/3,IF(AND(AO6=1,SUM($AJ6:$AO6)=2),$M6/2,IF(AND(AO6=1,SUM($AJ6:$AO6)=1),$M6,0))))))</f>
        <v>0</v>
      </c>
      <c r="AV6" s="29" t="s">
        <v>114</v>
      </c>
      <c r="AW6" s="29" t="s">
        <v>140</v>
      </c>
      <c r="AX6" s="29" t="s">
        <v>116</v>
      </c>
      <c r="AY6" s="30"/>
      <c r="AZ6" s="29" t="s">
        <v>117</v>
      </c>
      <c r="BA6" s="30"/>
      <c r="BB6" s="29" t="s">
        <v>116</v>
      </c>
      <c r="BC6" s="30"/>
      <c r="BD6" s="29" t="s">
        <v>117</v>
      </c>
      <c r="BE6" s="29" t="s">
        <v>141</v>
      </c>
      <c r="BF6" s="29" t="s">
        <v>117</v>
      </c>
      <c r="BG6" s="30" t="s">
        <v>119</v>
      </c>
    </row>
    <row r="7" customFormat="false" ht="39.55" hidden="false" customHeight="false" outlineLevel="0" collapsed="false">
      <c r="A7" s="20" t="n">
        <v>5</v>
      </c>
      <c r="B7" s="20" t="s">
        <v>9</v>
      </c>
      <c r="C7" s="20" t="s">
        <v>127</v>
      </c>
      <c r="D7" s="20" t="s">
        <v>142</v>
      </c>
      <c r="E7" s="20" t="s">
        <v>45</v>
      </c>
      <c r="F7" s="21" t="s">
        <v>4</v>
      </c>
      <c r="G7" s="21" t="s">
        <v>109</v>
      </c>
      <c r="H7" s="21" t="s">
        <v>143</v>
      </c>
      <c r="I7" s="22" t="s">
        <v>111</v>
      </c>
      <c r="J7" s="22" t="s">
        <v>16</v>
      </c>
      <c r="K7" s="23" t="s">
        <v>122</v>
      </c>
      <c r="L7" s="24" t="n">
        <f aca="false">M7*3600</f>
        <v>3607200000</v>
      </c>
      <c r="M7" s="25" t="n">
        <v>1002000</v>
      </c>
      <c r="N7" s="21"/>
      <c r="O7" s="21" t="s">
        <v>144</v>
      </c>
      <c r="P7" s="21" t="s">
        <v>133</v>
      </c>
      <c r="Q7" s="21"/>
      <c r="R7" s="26"/>
      <c r="S7" s="26"/>
      <c r="T7" s="27" t="n">
        <v>1</v>
      </c>
      <c r="U7" s="27" t="n">
        <v>1</v>
      </c>
      <c r="V7" s="27" t="n">
        <v>1</v>
      </c>
      <c r="W7" s="27" t="n">
        <v>1</v>
      </c>
      <c r="X7" s="26"/>
      <c r="Y7" s="26"/>
      <c r="Z7" s="26"/>
      <c r="AA7" s="26"/>
      <c r="AB7" s="26"/>
      <c r="AC7" s="26"/>
      <c r="AD7" s="26"/>
      <c r="AE7" s="26"/>
      <c r="AF7" s="26"/>
      <c r="AG7" s="26"/>
      <c r="AH7" s="26"/>
      <c r="AI7" s="26"/>
      <c r="AJ7" s="22" t="n">
        <f aca="false">IF(SUM(R7:T7)&gt;0,1,0)</f>
        <v>1</v>
      </c>
      <c r="AK7" s="22" t="n">
        <f aca="false">IF(SUM(U7:W7)&gt;0,1,0)</f>
        <v>1</v>
      </c>
      <c r="AL7" s="22" t="n">
        <f aca="false">IF(SUM(X7:Z7)&gt;0,1,0)</f>
        <v>0</v>
      </c>
      <c r="AM7" s="22" t="n">
        <f aca="false">IF(SUM(AA7:AC7)&gt;0,1,0)</f>
        <v>0</v>
      </c>
      <c r="AN7" s="22" t="n">
        <f aca="false">IF(SUM(AD7:AF7)&gt;0,1,0)</f>
        <v>0</v>
      </c>
      <c r="AO7" s="22" t="n">
        <f aca="false">IF(SUM(AG7:AI7)&gt;0,1,0)</f>
        <v>0</v>
      </c>
      <c r="AP7" s="28" t="n">
        <f aca="false">IF(AND(AJ7=1,SUM($AJ7:$AO7)=6),$M7/6,IF(AND(AJ7=1,SUM($AJ7:$AO7)=5),$M7/5,IF(AND(AJ7=1,SUM($AJ7:$AO7)=4),$M7/4,IF(AND(AJ7=1,SUM($AJ7:$AO7)=3),$M7/3,IF(AND(AJ7=1,SUM($AJ7:$AO7)=2),$M7/2,IF(AND(AJ7=1,SUM($AJ7:$AO7)=1),$M7,0))))))</f>
        <v>501000</v>
      </c>
      <c r="AQ7" s="28" t="n">
        <f aca="false">IF(AND(AK7=1,SUM($AJ7:$AO7)=6),$M7/6,IF(AND(AK7=1,SUM($AJ7:$AO7)=5),$M7/5,IF(AND(AK7=1,SUM($AJ7:$AO7)=4),$M7/4,IF(AND(AK7=1,SUM($AJ7:$AO7)=3),$M7/3,IF(AND(AK7=1,SUM($AJ7:$AO7)=2),$M7/2,IF(AND(AK7=1,SUM($AJ7:$AO7)=1),$M7,0))))))</f>
        <v>501000</v>
      </c>
      <c r="AR7" s="28" t="n">
        <f aca="false">IF(AND(AL7=1,SUM($AJ7:$AO7)=6),$M7/6,IF(AND(AL7=1,SUM($AJ7:$AO7)=5),$M7/5,IF(AND(AL7=1,SUM($AJ7:$AO7)=4),$M7/4,IF(AND(AL7=1,SUM($AJ7:$AO7)=3),$M7/3,IF(AND(AL7=1,SUM($AJ7:$AO7)=2),$M7/2,IF(AND(AL7=1,SUM($AJ7:$AO7)=1),$M7,0))))))</f>
        <v>0</v>
      </c>
      <c r="AS7" s="28" t="n">
        <f aca="false">IF(AND(AM7=1,SUM($AJ7:$AO7)=6),$M7/6,IF(AND(AM7=1,SUM($AJ7:$AO7)=5),$M7/5,IF(AND(AM7=1,SUM($AJ7:$AO7)=4),$M7/4,IF(AND(AM7=1,SUM($AJ7:$AO7)=3),$M7/3,IF(AND(AM7=1,SUM($AJ7:$AO7)=2),$M7/2,IF(AND(AM7=1,SUM($AJ7:$AO7)=1),$M7,0))))))</f>
        <v>0</v>
      </c>
      <c r="AT7" s="28" t="n">
        <f aca="false">IF(AND(AN7=1,SUM($AJ7:$AO7)=6),$M7/6,IF(AND(AN7=1,SUM($AJ7:$AO7)=5),$M7/5,IF(AND(AN7=1,SUM($AJ7:$AO7)=4),$M7/4,IF(AND(AN7=1,SUM($AJ7:$AO7)=3),$M7/3,IF(AND(AN7=1,SUM($AJ7:$AO7)=2),$M7/2,IF(AND(AN7=1,SUM($AJ7:$AO7)=1),$M7,0))))))</f>
        <v>0</v>
      </c>
      <c r="AU7" s="28" t="n">
        <f aca="false">IF(AND(AO7=1,SUM($AJ7:$AO7)=6),$M7/6,IF(AND(AO7=1,SUM($AJ7:$AO7)=5),$M7/5,IF(AND(AO7=1,SUM($AJ7:$AO7)=4),$M7/4,IF(AND(AO7=1,SUM($AJ7:$AO7)=3),$M7/3,IF(AND(AO7=1,SUM($AJ7:$AO7)=2),$M7/2,IF(AND(AO7=1,SUM($AJ7:$AO7)=1),$M7,0))))))</f>
        <v>0</v>
      </c>
      <c r="AV7" s="29" t="s">
        <v>114</v>
      </c>
      <c r="AW7" s="29" t="s">
        <v>145</v>
      </c>
      <c r="AX7" s="29" t="s">
        <v>116</v>
      </c>
      <c r="AY7" s="30"/>
      <c r="AZ7" s="29" t="s">
        <v>117</v>
      </c>
      <c r="BA7" s="30"/>
      <c r="BB7" s="29" t="s">
        <v>116</v>
      </c>
      <c r="BC7" s="30"/>
      <c r="BD7" s="29" t="s">
        <v>116</v>
      </c>
      <c r="BE7" s="29" t="s">
        <v>146</v>
      </c>
      <c r="BF7" s="29" t="s">
        <v>116</v>
      </c>
      <c r="BG7" s="30" t="s">
        <v>119</v>
      </c>
    </row>
    <row r="8" customFormat="false" ht="39.55" hidden="false" customHeight="false" outlineLevel="0" collapsed="false">
      <c r="A8" s="20" t="n">
        <v>6</v>
      </c>
      <c r="B8" s="20" t="s">
        <v>9</v>
      </c>
      <c r="C8" s="20" t="s">
        <v>127</v>
      </c>
      <c r="D8" s="20" t="s">
        <v>147</v>
      </c>
      <c r="E8" s="20" t="s">
        <v>46</v>
      </c>
      <c r="F8" s="21" t="s">
        <v>4</v>
      </c>
      <c r="G8" s="21" t="s">
        <v>148</v>
      </c>
      <c r="H8" s="21" t="s">
        <v>149</v>
      </c>
      <c r="I8" s="22" t="s">
        <v>150</v>
      </c>
      <c r="J8" s="22" t="s">
        <v>20</v>
      </c>
      <c r="K8" s="23" t="s">
        <v>130</v>
      </c>
      <c r="L8" s="24" t="n">
        <f aca="false">M8*3600</f>
        <v>3609000000</v>
      </c>
      <c r="M8" s="25" t="n">
        <v>1002500</v>
      </c>
      <c r="N8" s="21" t="s">
        <v>151</v>
      </c>
      <c r="O8" s="21" t="s">
        <v>152</v>
      </c>
      <c r="P8" s="21" t="s">
        <v>133</v>
      </c>
      <c r="Q8" s="21" t="s">
        <v>153</v>
      </c>
      <c r="R8" s="26"/>
      <c r="S8" s="26"/>
      <c r="T8" s="26"/>
      <c r="U8" s="26"/>
      <c r="V8" s="26"/>
      <c r="W8" s="26"/>
      <c r="X8" s="26"/>
      <c r="Y8" s="26"/>
      <c r="Z8" s="26"/>
      <c r="AA8" s="27" t="n">
        <v>1</v>
      </c>
      <c r="AB8" s="27" t="n">
        <v>1</v>
      </c>
      <c r="AC8" s="27" t="n">
        <v>1</v>
      </c>
      <c r="AD8" s="26"/>
      <c r="AE8" s="26"/>
      <c r="AF8" s="26"/>
      <c r="AG8" s="26"/>
      <c r="AH8" s="26"/>
      <c r="AI8" s="26"/>
      <c r="AJ8" s="22" t="n">
        <f aca="false">IF(SUM(R8:T8)&gt;0,1,0)</f>
        <v>0</v>
      </c>
      <c r="AK8" s="22" t="n">
        <f aca="false">IF(SUM(U8:W8)&gt;0,1,0)</f>
        <v>0</v>
      </c>
      <c r="AL8" s="22" t="n">
        <f aca="false">IF(SUM(X8:Z8)&gt;0,1,0)</f>
        <v>0</v>
      </c>
      <c r="AM8" s="22" t="n">
        <f aca="false">IF(SUM(AA8:AC8)&gt;0,1,0)</f>
        <v>1</v>
      </c>
      <c r="AN8" s="22" t="n">
        <f aca="false">IF(SUM(AD8:AF8)&gt;0,1,0)</f>
        <v>0</v>
      </c>
      <c r="AO8" s="22" t="n">
        <f aca="false">IF(SUM(AG8:AI8)&gt;0,1,0)</f>
        <v>0</v>
      </c>
      <c r="AP8" s="28" t="n">
        <f aca="false">IF(AND(AJ8=1,SUM($AJ8:$AO8)=6),$M8/6,IF(AND(AJ8=1,SUM($AJ8:$AO8)=5),$M8/5,IF(AND(AJ8=1,SUM($AJ8:$AO8)=4),$M8/4,IF(AND(AJ8=1,SUM($AJ8:$AO8)=3),$M8/3,IF(AND(AJ8=1,SUM($AJ8:$AO8)=2),$M8/2,IF(AND(AJ8=1,SUM($AJ8:$AO8)=1),$M8,0))))))</f>
        <v>0</v>
      </c>
      <c r="AQ8" s="28" t="n">
        <f aca="false">IF(AND(AK8=1,SUM($AJ8:$AO8)=6),$M8/6,IF(AND(AK8=1,SUM($AJ8:$AO8)=5),$M8/5,IF(AND(AK8=1,SUM($AJ8:$AO8)=4),$M8/4,IF(AND(AK8=1,SUM($AJ8:$AO8)=3),$M8/3,IF(AND(AK8=1,SUM($AJ8:$AO8)=2),$M8/2,IF(AND(AK8=1,SUM($AJ8:$AO8)=1),$M8,0))))))</f>
        <v>0</v>
      </c>
      <c r="AR8" s="28" t="n">
        <f aca="false">IF(AND(AL8=1,SUM($AJ8:$AO8)=6),$M8/6,IF(AND(AL8=1,SUM($AJ8:$AO8)=5),$M8/5,IF(AND(AL8=1,SUM($AJ8:$AO8)=4),$M8/4,IF(AND(AL8=1,SUM($AJ8:$AO8)=3),$M8/3,IF(AND(AL8=1,SUM($AJ8:$AO8)=2),$M8/2,IF(AND(AL8=1,SUM($AJ8:$AO8)=1),$M8,0))))))</f>
        <v>0</v>
      </c>
      <c r="AS8" s="28" t="n">
        <f aca="false">IF(AND(AM8=1,SUM($AJ8:$AO8)=6),$M8/6,IF(AND(AM8=1,SUM($AJ8:$AO8)=5),$M8/5,IF(AND(AM8=1,SUM($AJ8:$AO8)=4),$M8/4,IF(AND(AM8=1,SUM($AJ8:$AO8)=3),$M8/3,IF(AND(AM8=1,SUM($AJ8:$AO8)=2),$M8/2,IF(AND(AM8=1,SUM($AJ8:$AO8)=1),$M8,0))))))</f>
        <v>1002500</v>
      </c>
      <c r="AT8" s="28" t="n">
        <f aca="false">IF(AND(AN8=1,SUM($AJ8:$AO8)=6),$M8/6,IF(AND(AN8=1,SUM($AJ8:$AO8)=5),$M8/5,IF(AND(AN8=1,SUM($AJ8:$AO8)=4),$M8/4,IF(AND(AN8=1,SUM($AJ8:$AO8)=3),$M8/3,IF(AND(AN8=1,SUM($AJ8:$AO8)=2),$M8/2,IF(AND(AN8=1,SUM($AJ8:$AO8)=1),$M8,0))))))</f>
        <v>0</v>
      </c>
      <c r="AU8" s="28" t="n">
        <f aca="false">IF(AND(AO8=1,SUM($AJ8:$AO8)=6),$M8/6,IF(AND(AO8=1,SUM($AJ8:$AO8)=5),$M8/5,IF(AND(AO8=1,SUM($AJ8:$AO8)=4),$M8/4,IF(AND(AO8=1,SUM($AJ8:$AO8)=3),$M8/3,IF(AND(AO8=1,SUM($AJ8:$AO8)=2),$M8/2,IF(AND(AO8=1,SUM($AJ8:$AO8)=1),$M8,0))))))</f>
        <v>0</v>
      </c>
      <c r="AV8" s="29" t="s">
        <v>114</v>
      </c>
      <c r="AW8" s="29" t="s">
        <v>154</v>
      </c>
      <c r="AX8" s="29" t="s">
        <v>116</v>
      </c>
      <c r="AY8" s="30"/>
      <c r="AZ8" s="29" t="s">
        <v>117</v>
      </c>
      <c r="BA8" s="30"/>
      <c r="BB8" s="29" t="s">
        <v>116</v>
      </c>
      <c r="BC8" s="30"/>
      <c r="BD8" s="29" t="s">
        <v>116</v>
      </c>
      <c r="BE8" s="29" t="s">
        <v>155</v>
      </c>
      <c r="BF8" s="29" t="s">
        <v>116</v>
      </c>
      <c r="BG8" s="30" t="s">
        <v>119</v>
      </c>
    </row>
    <row r="9" customFormat="false" ht="39.55" hidden="false" customHeight="false" outlineLevel="0" collapsed="false">
      <c r="A9" s="20" t="n">
        <v>7</v>
      </c>
      <c r="B9" s="20" t="s">
        <v>9</v>
      </c>
      <c r="C9" s="20" t="s">
        <v>127</v>
      </c>
      <c r="D9" s="20" t="s">
        <v>156</v>
      </c>
      <c r="E9" s="20" t="s">
        <v>45</v>
      </c>
      <c r="F9" s="21" t="s">
        <v>4</v>
      </c>
      <c r="G9" s="21" t="s">
        <v>109</v>
      </c>
      <c r="H9" s="21" t="s">
        <v>157</v>
      </c>
      <c r="I9" s="22" t="s">
        <v>111</v>
      </c>
      <c r="J9" s="22" t="s">
        <v>22</v>
      </c>
      <c r="K9" s="23" t="s">
        <v>16</v>
      </c>
      <c r="L9" s="24" t="n">
        <f aca="false">M9*3600</f>
        <v>3610800000</v>
      </c>
      <c r="M9" s="25" t="n">
        <v>1003000</v>
      </c>
      <c r="N9" s="21" t="s">
        <v>158</v>
      </c>
      <c r="O9" s="21" t="s">
        <v>159</v>
      </c>
      <c r="P9" s="21" t="s">
        <v>133</v>
      </c>
      <c r="Q9" s="21" t="s">
        <v>160</v>
      </c>
      <c r="R9" s="26"/>
      <c r="S9" s="26"/>
      <c r="T9" s="26"/>
      <c r="U9" s="26"/>
      <c r="V9" s="26"/>
      <c r="W9" s="26"/>
      <c r="X9" s="27" t="n">
        <v>1</v>
      </c>
      <c r="Y9" s="27" t="n">
        <v>1</v>
      </c>
      <c r="Z9" s="27" t="n">
        <v>1</v>
      </c>
      <c r="AA9" s="27" t="n">
        <v>1</v>
      </c>
      <c r="AB9" s="27" t="n">
        <v>1</v>
      </c>
      <c r="AC9" s="27" t="n">
        <v>1</v>
      </c>
      <c r="AD9" s="26"/>
      <c r="AE9" s="26"/>
      <c r="AF9" s="26"/>
      <c r="AG9" s="26"/>
      <c r="AH9" s="26"/>
      <c r="AI9" s="26"/>
      <c r="AJ9" s="22" t="n">
        <f aca="false">IF(SUM(R9:T9)&gt;0,1,0)</f>
        <v>0</v>
      </c>
      <c r="AK9" s="22" t="n">
        <f aca="false">IF(SUM(U9:W9)&gt;0,1,0)</f>
        <v>0</v>
      </c>
      <c r="AL9" s="22" t="n">
        <f aca="false">IF(SUM(X9:Z9)&gt;0,1,0)</f>
        <v>1</v>
      </c>
      <c r="AM9" s="22" t="n">
        <f aca="false">IF(SUM(AA9:AC9)&gt;0,1,0)</f>
        <v>1</v>
      </c>
      <c r="AN9" s="22" t="n">
        <f aca="false">IF(SUM(AD9:AF9)&gt;0,1,0)</f>
        <v>0</v>
      </c>
      <c r="AO9" s="22" t="n">
        <f aca="false">IF(SUM(AG9:AI9)&gt;0,1,0)</f>
        <v>0</v>
      </c>
      <c r="AP9" s="28" t="n">
        <f aca="false">IF(AND(AJ9=1,SUM($AJ9:$AO9)=6),$M9/6,IF(AND(AJ9=1,SUM($AJ9:$AO9)=5),$M9/5,IF(AND(AJ9=1,SUM($AJ9:$AO9)=4),$M9/4,IF(AND(AJ9=1,SUM($AJ9:$AO9)=3),$M9/3,IF(AND(AJ9=1,SUM($AJ9:$AO9)=2),$M9/2,IF(AND(AJ9=1,SUM($AJ9:$AO9)=1),$M9,0))))))</f>
        <v>0</v>
      </c>
      <c r="AQ9" s="28" t="n">
        <f aca="false">IF(AND(AK9=1,SUM($AJ9:$AO9)=6),$M9/6,IF(AND(AK9=1,SUM($AJ9:$AO9)=5),$M9/5,IF(AND(AK9=1,SUM($AJ9:$AO9)=4),$M9/4,IF(AND(AK9=1,SUM($AJ9:$AO9)=3),$M9/3,IF(AND(AK9=1,SUM($AJ9:$AO9)=2),$M9/2,IF(AND(AK9=1,SUM($AJ9:$AO9)=1),$M9,0))))))</f>
        <v>0</v>
      </c>
      <c r="AR9" s="28" t="n">
        <f aca="false">IF(AND(AL9=1,SUM($AJ9:$AO9)=6),$M9/6,IF(AND(AL9=1,SUM($AJ9:$AO9)=5),$M9/5,IF(AND(AL9=1,SUM($AJ9:$AO9)=4),$M9/4,IF(AND(AL9=1,SUM($AJ9:$AO9)=3),$M9/3,IF(AND(AL9=1,SUM($AJ9:$AO9)=2),$M9/2,IF(AND(AL9=1,SUM($AJ9:$AO9)=1),$M9,0))))))</f>
        <v>501500</v>
      </c>
      <c r="AS9" s="28" t="n">
        <f aca="false">IF(AND(AM9=1,SUM($AJ9:$AO9)=6),$M9/6,IF(AND(AM9=1,SUM($AJ9:$AO9)=5),$M9/5,IF(AND(AM9=1,SUM($AJ9:$AO9)=4),$M9/4,IF(AND(AM9=1,SUM($AJ9:$AO9)=3),$M9/3,IF(AND(AM9=1,SUM($AJ9:$AO9)=2),$M9/2,IF(AND(AM9=1,SUM($AJ9:$AO9)=1),$M9,0))))))</f>
        <v>501500</v>
      </c>
      <c r="AT9" s="28" t="n">
        <f aca="false">IF(AND(AN9=1,SUM($AJ9:$AO9)=6),$M9/6,IF(AND(AN9=1,SUM($AJ9:$AO9)=5),$M9/5,IF(AND(AN9=1,SUM($AJ9:$AO9)=4),$M9/4,IF(AND(AN9=1,SUM($AJ9:$AO9)=3),$M9/3,IF(AND(AN9=1,SUM($AJ9:$AO9)=2),$M9/2,IF(AND(AN9=1,SUM($AJ9:$AO9)=1),$M9,0))))))</f>
        <v>0</v>
      </c>
      <c r="AU9" s="28" t="n">
        <f aca="false">IF(AND(AO9=1,SUM($AJ9:$AO9)=6),$M9/6,IF(AND(AO9=1,SUM($AJ9:$AO9)=5),$M9/5,IF(AND(AO9=1,SUM($AJ9:$AO9)=4),$M9/4,IF(AND(AO9=1,SUM($AJ9:$AO9)=3),$M9/3,IF(AND(AO9=1,SUM($AJ9:$AO9)=2),$M9/2,IF(AND(AO9=1,SUM($AJ9:$AO9)=1),$M9,0))))))</f>
        <v>0</v>
      </c>
      <c r="AV9" s="29" t="s">
        <v>117</v>
      </c>
      <c r="AW9" s="29" t="s">
        <v>161</v>
      </c>
      <c r="AX9" s="29" t="s">
        <v>114</v>
      </c>
      <c r="AY9" s="30"/>
      <c r="AZ9" s="29" t="s">
        <v>117</v>
      </c>
      <c r="BA9" s="30"/>
      <c r="BB9" s="29" t="s">
        <v>116</v>
      </c>
      <c r="BC9" s="30"/>
      <c r="BD9" s="29" t="s">
        <v>116</v>
      </c>
      <c r="BE9" s="29" t="s">
        <v>162</v>
      </c>
      <c r="BF9" s="29" t="s">
        <v>116</v>
      </c>
      <c r="BG9" s="30" t="s">
        <v>119</v>
      </c>
    </row>
    <row r="10" customFormat="false" ht="39.55" hidden="false" customHeight="false" outlineLevel="0" collapsed="false">
      <c r="A10" s="20" t="n">
        <v>8</v>
      </c>
      <c r="B10" s="20" t="s">
        <v>9</v>
      </c>
      <c r="C10" s="20" t="s">
        <v>127</v>
      </c>
      <c r="D10" s="20" t="s">
        <v>163</v>
      </c>
      <c r="E10" s="20" t="s">
        <v>46</v>
      </c>
      <c r="F10" s="21" t="s">
        <v>4</v>
      </c>
      <c r="G10" s="21" t="s">
        <v>109</v>
      </c>
      <c r="H10" s="21" t="s">
        <v>164</v>
      </c>
      <c r="I10" s="22" t="s">
        <v>111</v>
      </c>
      <c r="J10" s="22" t="s">
        <v>22</v>
      </c>
      <c r="K10" s="23" t="s">
        <v>122</v>
      </c>
      <c r="L10" s="24" t="n">
        <f aca="false">M10*3600</f>
        <v>3612600000</v>
      </c>
      <c r="M10" s="25" t="n">
        <v>1003500</v>
      </c>
      <c r="N10" s="21"/>
      <c r="O10" s="21" t="s">
        <v>165</v>
      </c>
      <c r="P10" s="21" t="s">
        <v>133</v>
      </c>
      <c r="Q10" s="21" t="s">
        <v>22</v>
      </c>
      <c r="R10" s="26"/>
      <c r="S10" s="26"/>
      <c r="T10" s="26"/>
      <c r="U10" s="26"/>
      <c r="V10" s="26"/>
      <c r="W10" s="26"/>
      <c r="X10" s="27" t="n">
        <v>1</v>
      </c>
      <c r="Y10" s="27" t="n">
        <v>1</v>
      </c>
      <c r="Z10" s="27" t="n">
        <v>1</v>
      </c>
      <c r="AA10" s="27" t="n">
        <v>1</v>
      </c>
      <c r="AB10" s="27" t="n">
        <v>1</v>
      </c>
      <c r="AC10" s="27" t="n">
        <v>1</v>
      </c>
      <c r="AD10" s="26"/>
      <c r="AE10" s="26"/>
      <c r="AF10" s="26"/>
      <c r="AG10" s="26"/>
      <c r="AH10" s="26"/>
      <c r="AI10" s="26"/>
      <c r="AJ10" s="22" t="n">
        <f aca="false">IF(SUM(R10:T10)&gt;0,1,0)</f>
        <v>0</v>
      </c>
      <c r="AK10" s="22" t="n">
        <f aca="false">IF(SUM(U10:W10)&gt;0,1,0)</f>
        <v>0</v>
      </c>
      <c r="AL10" s="22" t="n">
        <f aca="false">IF(SUM(X10:Z10)&gt;0,1,0)</f>
        <v>1</v>
      </c>
      <c r="AM10" s="22" t="n">
        <f aca="false">IF(SUM(AA10:AC10)&gt;0,1,0)</f>
        <v>1</v>
      </c>
      <c r="AN10" s="22" t="n">
        <f aca="false">IF(SUM(AD10:AF10)&gt;0,1,0)</f>
        <v>0</v>
      </c>
      <c r="AO10" s="22" t="n">
        <f aca="false">IF(SUM(AG10:AI10)&gt;0,1,0)</f>
        <v>0</v>
      </c>
      <c r="AP10" s="28" t="n">
        <f aca="false">IF(AND(AJ10=1,SUM($AJ10:$AO10)=6),$M10/6,IF(AND(AJ10=1,SUM($AJ10:$AO10)=5),$M10/5,IF(AND(AJ10=1,SUM($AJ10:$AO10)=4),$M10/4,IF(AND(AJ10=1,SUM($AJ10:$AO10)=3),$M10/3,IF(AND(AJ10=1,SUM($AJ10:$AO10)=2),$M10/2,IF(AND(AJ10=1,SUM($AJ10:$AO10)=1),$M10,0))))))</f>
        <v>0</v>
      </c>
      <c r="AQ10" s="28" t="n">
        <f aca="false">IF(AND(AK10=1,SUM($AJ10:$AO10)=6),$M10/6,IF(AND(AK10=1,SUM($AJ10:$AO10)=5),$M10/5,IF(AND(AK10=1,SUM($AJ10:$AO10)=4),$M10/4,IF(AND(AK10=1,SUM($AJ10:$AO10)=3),$M10/3,IF(AND(AK10=1,SUM($AJ10:$AO10)=2),$M10/2,IF(AND(AK10=1,SUM($AJ10:$AO10)=1),$M10,0))))))</f>
        <v>0</v>
      </c>
      <c r="AR10" s="28" t="n">
        <f aca="false">IF(AND(AL10=1,SUM($AJ10:$AO10)=6),$M10/6,IF(AND(AL10=1,SUM($AJ10:$AO10)=5),$M10/5,IF(AND(AL10=1,SUM($AJ10:$AO10)=4),$M10/4,IF(AND(AL10=1,SUM($AJ10:$AO10)=3),$M10/3,IF(AND(AL10=1,SUM($AJ10:$AO10)=2),$M10/2,IF(AND(AL10=1,SUM($AJ10:$AO10)=1),$M10,0))))))</f>
        <v>501750</v>
      </c>
      <c r="AS10" s="28" t="n">
        <f aca="false">IF(AND(AM10=1,SUM($AJ10:$AO10)=6),$M10/6,IF(AND(AM10=1,SUM($AJ10:$AO10)=5),$M10/5,IF(AND(AM10=1,SUM($AJ10:$AO10)=4),$M10/4,IF(AND(AM10=1,SUM($AJ10:$AO10)=3),$M10/3,IF(AND(AM10=1,SUM($AJ10:$AO10)=2),$M10/2,IF(AND(AM10=1,SUM($AJ10:$AO10)=1),$M10,0))))))</f>
        <v>501750</v>
      </c>
      <c r="AT10" s="28" t="n">
        <f aca="false">IF(AND(AN10=1,SUM($AJ10:$AO10)=6),$M10/6,IF(AND(AN10=1,SUM($AJ10:$AO10)=5),$M10/5,IF(AND(AN10=1,SUM($AJ10:$AO10)=4),$M10/4,IF(AND(AN10=1,SUM($AJ10:$AO10)=3),$M10/3,IF(AND(AN10=1,SUM($AJ10:$AO10)=2),$M10/2,IF(AND(AN10=1,SUM($AJ10:$AO10)=1),$M10,0))))))</f>
        <v>0</v>
      </c>
      <c r="AU10" s="28" t="n">
        <f aca="false">IF(AND(AO10=1,SUM($AJ10:$AO10)=6),$M10/6,IF(AND(AO10=1,SUM($AJ10:$AO10)=5),$M10/5,IF(AND(AO10=1,SUM($AJ10:$AO10)=4),$M10/4,IF(AND(AO10=1,SUM($AJ10:$AO10)=3),$M10/3,IF(AND(AO10=1,SUM($AJ10:$AO10)=2),$M10/2,IF(AND(AO10=1,SUM($AJ10:$AO10)=1),$M10,0))))))</f>
        <v>0</v>
      </c>
      <c r="AV10" s="29" t="s">
        <v>117</v>
      </c>
      <c r="AW10" s="29" t="s">
        <v>166</v>
      </c>
      <c r="AX10" s="29" t="s">
        <v>114</v>
      </c>
      <c r="AY10" s="30"/>
      <c r="AZ10" s="29" t="s">
        <v>117</v>
      </c>
      <c r="BA10" s="30"/>
      <c r="BB10" s="29" t="s">
        <v>116</v>
      </c>
      <c r="BC10" s="30"/>
      <c r="BD10" s="29" t="s">
        <v>117</v>
      </c>
      <c r="BE10" s="29" t="s">
        <v>167</v>
      </c>
      <c r="BF10" s="29" t="s">
        <v>116</v>
      </c>
      <c r="BG10" s="30" t="s">
        <v>119</v>
      </c>
    </row>
    <row r="11" customFormat="false" ht="39.55" hidden="false" customHeight="false" outlineLevel="0" collapsed="false">
      <c r="A11" s="20" t="n">
        <v>9</v>
      </c>
      <c r="B11" s="20" t="s">
        <v>9</v>
      </c>
      <c r="C11" s="20" t="s">
        <v>127</v>
      </c>
      <c r="D11" s="20" t="s">
        <v>168</v>
      </c>
      <c r="E11" s="20" t="s">
        <v>46</v>
      </c>
      <c r="F11" s="21" t="s">
        <v>4</v>
      </c>
      <c r="G11" s="21" t="s">
        <v>109</v>
      </c>
      <c r="H11" s="21" t="s">
        <v>149</v>
      </c>
      <c r="I11" s="22" t="s">
        <v>111</v>
      </c>
      <c r="J11" s="22" t="s">
        <v>22</v>
      </c>
      <c r="K11" s="23" t="s">
        <v>130</v>
      </c>
      <c r="L11" s="24" t="n">
        <f aca="false">M11*3600</f>
        <v>3614400000</v>
      </c>
      <c r="M11" s="25" t="n">
        <v>1004000</v>
      </c>
      <c r="N11" s="21" t="s">
        <v>169</v>
      </c>
      <c r="O11" s="21" t="s">
        <v>170</v>
      </c>
      <c r="P11" s="21" t="s">
        <v>133</v>
      </c>
      <c r="Q11" s="21" t="s">
        <v>22</v>
      </c>
      <c r="R11" s="26"/>
      <c r="S11" s="26"/>
      <c r="T11" s="26"/>
      <c r="U11" s="26"/>
      <c r="V11" s="26"/>
      <c r="W11" s="26"/>
      <c r="X11" s="27" t="n">
        <v>1</v>
      </c>
      <c r="Y11" s="27" t="n">
        <v>1</v>
      </c>
      <c r="Z11" s="27" t="n">
        <v>1</v>
      </c>
      <c r="AA11" s="26"/>
      <c r="AB11" s="26"/>
      <c r="AC11" s="26"/>
      <c r="AD11" s="26"/>
      <c r="AE11" s="26"/>
      <c r="AF11" s="26"/>
      <c r="AG11" s="26"/>
      <c r="AH11" s="26"/>
      <c r="AI11" s="26"/>
      <c r="AJ11" s="22" t="n">
        <f aca="false">IF(SUM(R11:T11)&gt;0,1,0)</f>
        <v>0</v>
      </c>
      <c r="AK11" s="22" t="n">
        <f aca="false">IF(SUM(U11:W11)&gt;0,1,0)</f>
        <v>0</v>
      </c>
      <c r="AL11" s="22" t="n">
        <f aca="false">IF(SUM(X11:Z11)&gt;0,1,0)</f>
        <v>1</v>
      </c>
      <c r="AM11" s="22" t="n">
        <f aca="false">IF(SUM(AA11:AC11)&gt;0,1,0)</f>
        <v>0</v>
      </c>
      <c r="AN11" s="22" t="n">
        <f aca="false">IF(SUM(AD11:AF11)&gt;0,1,0)</f>
        <v>0</v>
      </c>
      <c r="AO11" s="22" t="n">
        <f aca="false">IF(SUM(AG11:AI11)&gt;0,1,0)</f>
        <v>0</v>
      </c>
      <c r="AP11" s="28" t="n">
        <f aca="false">IF(AND(AJ11=1,SUM($AJ11:$AO11)=6),$M11/6,IF(AND(AJ11=1,SUM($AJ11:$AO11)=5),$M11/5,IF(AND(AJ11=1,SUM($AJ11:$AO11)=4),$M11/4,IF(AND(AJ11=1,SUM($AJ11:$AO11)=3),$M11/3,IF(AND(AJ11=1,SUM($AJ11:$AO11)=2),$M11/2,IF(AND(AJ11=1,SUM($AJ11:$AO11)=1),$M11,0))))))</f>
        <v>0</v>
      </c>
      <c r="AQ11" s="28" t="n">
        <f aca="false">IF(AND(AK11=1,SUM($AJ11:$AO11)=6),$M11/6,IF(AND(AK11=1,SUM($AJ11:$AO11)=5),$M11/5,IF(AND(AK11=1,SUM($AJ11:$AO11)=4),$M11/4,IF(AND(AK11=1,SUM($AJ11:$AO11)=3),$M11/3,IF(AND(AK11=1,SUM($AJ11:$AO11)=2),$M11/2,IF(AND(AK11=1,SUM($AJ11:$AO11)=1),$M11,0))))))</f>
        <v>0</v>
      </c>
      <c r="AR11" s="28" t="n">
        <f aca="false">IF(AND(AL11=1,SUM($AJ11:$AO11)=6),$M11/6,IF(AND(AL11=1,SUM($AJ11:$AO11)=5),$M11/5,IF(AND(AL11=1,SUM($AJ11:$AO11)=4),$M11/4,IF(AND(AL11=1,SUM($AJ11:$AO11)=3),$M11/3,IF(AND(AL11=1,SUM($AJ11:$AO11)=2),$M11/2,IF(AND(AL11=1,SUM($AJ11:$AO11)=1),$M11,0))))))</f>
        <v>1004000</v>
      </c>
      <c r="AS11" s="28" t="n">
        <f aca="false">IF(AND(AM11=1,SUM($AJ11:$AO11)=6),$M11/6,IF(AND(AM11=1,SUM($AJ11:$AO11)=5),$M11/5,IF(AND(AM11=1,SUM($AJ11:$AO11)=4),$M11/4,IF(AND(AM11=1,SUM($AJ11:$AO11)=3),$M11/3,IF(AND(AM11=1,SUM($AJ11:$AO11)=2),$M11/2,IF(AND(AM11=1,SUM($AJ11:$AO11)=1),$M11,0))))))</f>
        <v>0</v>
      </c>
      <c r="AT11" s="28" t="n">
        <f aca="false">IF(AND(AN11=1,SUM($AJ11:$AO11)=6),$M11/6,IF(AND(AN11=1,SUM($AJ11:$AO11)=5),$M11/5,IF(AND(AN11=1,SUM($AJ11:$AO11)=4),$M11/4,IF(AND(AN11=1,SUM($AJ11:$AO11)=3),$M11/3,IF(AND(AN11=1,SUM($AJ11:$AO11)=2),$M11/2,IF(AND(AN11=1,SUM($AJ11:$AO11)=1),$M11,0))))))</f>
        <v>0</v>
      </c>
      <c r="AU11" s="28" t="n">
        <f aca="false">IF(AND(AO11=1,SUM($AJ11:$AO11)=6),$M11/6,IF(AND(AO11=1,SUM($AJ11:$AO11)=5),$M11/5,IF(AND(AO11=1,SUM($AJ11:$AO11)=4),$M11/4,IF(AND(AO11=1,SUM($AJ11:$AO11)=3),$M11/3,IF(AND(AO11=1,SUM($AJ11:$AO11)=2),$M11/2,IF(AND(AO11=1,SUM($AJ11:$AO11)=1),$M11,0))))))</f>
        <v>0</v>
      </c>
      <c r="AV11" s="29" t="s">
        <v>117</v>
      </c>
      <c r="AW11" s="29" t="s">
        <v>171</v>
      </c>
      <c r="AX11" s="29" t="s">
        <v>116</v>
      </c>
      <c r="AY11" s="30"/>
      <c r="AZ11" s="26" t="s">
        <v>116</v>
      </c>
      <c r="BA11" s="30"/>
      <c r="BB11" s="29" t="s">
        <v>117</v>
      </c>
      <c r="BC11" s="30"/>
      <c r="BD11" s="29" t="s">
        <v>117</v>
      </c>
      <c r="BE11" s="29" t="s">
        <v>172</v>
      </c>
      <c r="BF11" s="29" t="s">
        <v>116</v>
      </c>
      <c r="BG11" s="30" t="s">
        <v>119</v>
      </c>
    </row>
    <row r="12" customFormat="false" ht="39.55" hidden="false" customHeight="false" outlineLevel="0" collapsed="false">
      <c r="A12" s="20" t="n">
        <v>10</v>
      </c>
      <c r="B12" s="20" t="s">
        <v>9</v>
      </c>
      <c r="C12" s="20" t="s">
        <v>127</v>
      </c>
      <c r="D12" s="20" t="s">
        <v>173</v>
      </c>
      <c r="E12" s="20" t="s">
        <v>46</v>
      </c>
      <c r="F12" s="21" t="s">
        <v>4</v>
      </c>
      <c r="G12" s="21" t="s">
        <v>109</v>
      </c>
      <c r="H12" s="21" t="s">
        <v>110</v>
      </c>
      <c r="I12" s="22" t="s">
        <v>111</v>
      </c>
      <c r="J12" s="22" t="s">
        <v>22</v>
      </c>
      <c r="K12" s="23" t="s">
        <v>16</v>
      </c>
      <c r="L12" s="24" t="n">
        <f aca="false">M12*3600</f>
        <v>3616200000</v>
      </c>
      <c r="M12" s="25" t="n">
        <v>1004500</v>
      </c>
      <c r="N12" s="21" t="s">
        <v>174</v>
      </c>
      <c r="O12" s="21" t="s">
        <v>175</v>
      </c>
      <c r="P12" s="21" t="s">
        <v>133</v>
      </c>
      <c r="Q12" s="21" t="s">
        <v>22</v>
      </c>
      <c r="R12" s="26"/>
      <c r="S12" s="26"/>
      <c r="T12" s="26"/>
      <c r="U12" s="27" t="n">
        <v>1</v>
      </c>
      <c r="V12" s="27" t="n">
        <v>1</v>
      </c>
      <c r="W12" s="27" t="n">
        <v>1</v>
      </c>
      <c r="X12" s="26"/>
      <c r="Y12" s="26"/>
      <c r="Z12" s="26"/>
      <c r="AA12" s="26"/>
      <c r="AB12" s="26"/>
      <c r="AC12" s="26"/>
      <c r="AD12" s="26"/>
      <c r="AE12" s="26"/>
      <c r="AF12" s="26"/>
      <c r="AG12" s="26"/>
      <c r="AH12" s="26"/>
      <c r="AI12" s="26"/>
      <c r="AJ12" s="22" t="n">
        <f aca="false">IF(SUM(R12:T12)&gt;0,1,0)</f>
        <v>0</v>
      </c>
      <c r="AK12" s="22" t="n">
        <f aca="false">IF(SUM(U12:W12)&gt;0,1,0)</f>
        <v>1</v>
      </c>
      <c r="AL12" s="22" t="n">
        <f aca="false">IF(SUM(X12:Z12)&gt;0,1,0)</f>
        <v>0</v>
      </c>
      <c r="AM12" s="22" t="n">
        <f aca="false">IF(SUM(AA12:AC12)&gt;0,1,0)</f>
        <v>0</v>
      </c>
      <c r="AN12" s="22" t="n">
        <f aca="false">IF(SUM(AD12:AF12)&gt;0,1,0)</f>
        <v>0</v>
      </c>
      <c r="AO12" s="22" t="n">
        <f aca="false">IF(SUM(AG12:AI12)&gt;0,1,0)</f>
        <v>0</v>
      </c>
      <c r="AP12" s="28" t="n">
        <f aca="false">IF(AND(AJ12=1,SUM($AJ12:$AO12)=6),$M12/6,IF(AND(AJ12=1,SUM($AJ12:$AO12)=5),$M12/5,IF(AND(AJ12=1,SUM($AJ12:$AO12)=4),$M12/4,IF(AND(AJ12=1,SUM($AJ12:$AO12)=3),$M12/3,IF(AND(AJ12=1,SUM($AJ12:$AO12)=2),$M12/2,IF(AND(AJ12=1,SUM($AJ12:$AO12)=1),$M12,0))))))</f>
        <v>0</v>
      </c>
      <c r="AQ12" s="28" t="n">
        <f aca="false">IF(AND(AK12=1,SUM($AJ12:$AO12)=6),$M12/6,IF(AND(AK12=1,SUM($AJ12:$AO12)=5),$M12/5,IF(AND(AK12=1,SUM($AJ12:$AO12)=4),$M12/4,IF(AND(AK12=1,SUM($AJ12:$AO12)=3),$M12/3,IF(AND(AK12=1,SUM($AJ12:$AO12)=2),$M12/2,IF(AND(AK12=1,SUM($AJ12:$AO12)=1),$M12,0))))))</f>
        <v>1004500</v>
      </c>
      <c r="AR12" s="28" t="n">
        <f aca="false">IF(AND(AL12=1,SUM($AJ12:$AO12)=6),$M12/6,IF(AND(AL12=1,SUM($AJ12:$AO12)=5),$M12/5,IF(AND(AL12=1,SUM($AJ12:$AO12)=4),$M12/4,IF(AND(AL12=1,SUM($AJ12:$AO12)=3),$M12/3,IF(AND(AL12=1,SUM($AJ12:$AO12)=2),$M12/2,IF(AND(AL12=1,SUM($AJ12:$AO12)=1),$M12,0))))))</f>
        <v>0</v>
      </c>
      <c r="AS12" s="28" t="n">
        <f aca="false">IF(AND(AM12=1,SUM($AJ12:$AO12)=6),$M12/6,IF(AND(AM12=1,SUM($AJ12:$AO12)=5),$M12/5,IF(AND(AM12=1,SUM($AJ12:$AO12)=4),$M12/4,IF(AND(AM12=1,SUM($AJ12:$AO12)=3),$M12/3,IF(AND(AM12=1,SUM($AJ12:$AO12)=2),$M12/2,IF(AND(AM12=1,SUM($AJ12:$AO12)=1),$M12,0))))))</f>
        <v>0</v>
      </c>
      <c r="AT12" s="28" t="n">
        <f aca="false">IF(AND(AN12=1,SUM($AJ12:$AO12)=6),$M12/6,IF(AND(AN12=1,SUM($AJ12:$AO12)=5),$M12/5,IF(AND(AN12=1,SUM($AJ12:$AO12)=4),$M12/4,IF(AND(AN12=1,SUM($AJ12:$AO12)=3),$M12/3,IF(AND(AN12=1,SUM($AJ12:$AO12)=2),$M12/2,IF(AND(AN12=1,SUM($AJ12:$AO12)=1),$M12,0))))))</f>
        <v>0</v>
      </c>
      <c r="AU12" s="28" t="n">
        <f aca="false">IF(AND(AO12=1,SUM($AJ12:$AO12)=6),$M12/6,IF(AND(AO12=1,SUM($AJ12:$AO12)=5),$M12/5,IF(AND(AO12=1,SUM($AJ12:$AO12)=4),$M12/4,IF(AND(AO12=1,SUM($AJ12:$AO12)=3),$M12/3,IF(AND(AO12=1,SUM($AJ12:$AO12)=2),$M12/2,IF(AND(AO12=1,SUM($AJ12:$AO12)=1),$M12,0))))))</f>
        <v>0</v>
      </c>
      <c r="AV12" s="29" t="s">
        <v>117</v>
      </c>
      <c r="AW12" s="29" t="s">
        <v>176</v>
      </c>
      <c r="AX12" s="29" t="s">
        <v>116</v>
      </c>
      <c r="AY12" s="30"/>
      <c r="AZ12" s="26" t="s">
        <v>116</v>
      </c>
      <c r="BA12" s="30"/>
      <c r="BB12" s="29" t="s">
        <v>117</v>
      </c>
      <c r="BC12" s="30"/>
      <c r="BD12" s="29" t="s">
        <v>117</v>
      </c>
      <c r="BE12" s="29" t="s">
        <v>177</v>
      </c>
      <c r="BF12" s="29" t="s">
        <v>116</v>
      </c>
      <c r="BG12" s="30" t="s">
        <v>119</v>
      </c>
    </row>
    <row r="13" customFormat="false" ht="39.55" hidden="false" customHeight="false" outlineLevel="0" collapsed="false">
      <c r="A13" s="20" t="n">
        <v>11</v>
      </c>
      <c r="B13" s="20" t="s">
        <v>9</v>
      </c>
      <c r="C13" s="20" t="s">
        <v>127</v>
      </c>
      <c r="D13" s="20" t="s">
        <v>178</v>
      </c>
      <c r="E13" s="20" t="s">
        <v>46</v>
      </c>
      <c r="F13" s="21" t="s">
        <v>4</v>
      </c>
      <c r="G13" s="21" t="s">
        <v>109</v>
      </c>
      <c r="H13" s="21" t="s">
        <v>179</v>
      </c>
      <c r="I13" s="22" t="s">
        <v>111</v>
      </c>
      <c r="J13" s="22" t="s">
        <v>22</v>
      </c>
      <c r="K13" s="23" t="s">
        <v>122</v>
      </c>
      <c r="L13" s="24" t="n">
        <f aca="false">M13*3600</f>
        <v>3618000000</v>
      </c>
      <c r="M13" s="25" t="n">
        <v>1005000</v>
      </c>
      <c r="N13" s="21"/>
      <c r="O13" s="21" t="s">
        <v>180</v>
      </c>
      <c r="P13" s="21" t="s">
        <v>133</v>
      </c>
      <c r="Q13" s="21" t="s">
        <v>22</v>
      </c>
      <c r="R13" s="27" t="n">
        <v>1</v>
      </c>
      <c r="S13" s="27" t="n">
        <v>1</v>
      </c>
      <c r="T13" s="27" t="n">
        <v>1</v>
      </c>
      <c r="U13" s="27" t="n">
        <v>1</v>
      </c>
      <c r="V13" s="27" t="n">
        <v>1</v>
      </c>
      <c r="W13" s="27" t="n">
        <v>1</v>
      </c>
      <c r="X13" s="26"/>
      <c r="Y13" s="26"/>
      <c r="Z13" s="26"/>
      <c r="AA13" s="26"/>
      <c r="AB13" s="26"/>
      <c r="AC13" s="26"/>
      <c r="AD13" s="26"/>
      <c r="AE13" s="26"/>
      <c r="AF13" s="26"/>
      <c r="AG13" s="26"/>
      <c r="AH13" s="26"/>
      <c r="AI13" s="26"/>
      <c r="AJ13" s="22" t="n">
        <f aca="false">IF(SUM(R13:T13)&gt;0,1,0)</f>
        <v>1</v>
      </c>
      <c r="AK13" s="22" t="n">
        <f aca="false">IF(SUM(U13:W13)&gt;0,1,0)</f>
        <v>1</v>
      </c>
      <c r="AL13" s="22" t="n">
        <f aca="false">IF(SUM(X13:Z13)&gt;0,1,0)</f>
        <v>0</v>
      </c>
      <c r="AM13" s="22" t="n">
        <f aca="false">IF(SUM(AA13:AC13)&gt;0,1,0)</f>
        <v>0</v>
      </c>
      <c r="AN13" s="22" t="n">
        <f aca="false">IF(SUM(AD13:AF13)&gt;0,1,0)</f>
        <v>0</v>
      </c>
      <c r="AO13" s="22" t="n">
        <f aca="false">IF(SUM(AG13:AI13)&gt;0,1,0)</f>
        <v>0</v>
      </c>
      <c r="AP13" s="28" t="n">
        <f aca="false">IF(AND(AJ13=1,SUM($AJ13:$AO13)=6),$M13/6,IF(AND(AJ13=1,SUM($AJ13:$AO13)=5),$M13/5,IF(AND(AJ13=1,SUM($AJ13:$AO13)=4),$M13/4,IF(AND(AJ13=1,SUM($AJ13:$AO13)=3),$M13/3,IF(AND(AJ13=1,SUM($AJ13:$AO13)=2),$M13/2,IF(AND(AJ13=1,SUM($AJ13:$AO13)=1),$M13,0))))))</f>
        <v>502500</v>
      </c>
      <c r="AQ13" s="28" t="n">
        <f aca="false">IF(AND(AK13=1,SUM($AJ13:$AO13)=6),$M13/6,IF(AND(AK13=1,SUM($AJ13:$AO13)=5),$M13/5,IF(AND(AK13=1,SUM($AJ13:$AO13)=4),$M13/4,IF(AND(AK13=1,SUM($AJ13:$AO13)=3),$M13/3,IF(AND(AK13=1,SUM($AJ13:$AO13)=2),$M13/2,IF(AND(AK13=1,SUM($AJ13:$AO13)=1),$M13,0))))))</f>
        <v>502500</v>
      </c>
      <c r="AR13" s="28" t="n">
        <f aca="false">IF(AND(AL13=1,SUM($AJ13:$AO13)=6),$M13/6,IF(AND(AL13=1,SUM($AJ13:$AO13)=5),$M13/5,IF(AND(AL13=1,SUM($AJ13:$AO13)=4),$M13/4,IF(AND(AL13=1,SUM($AJ13:$AO13)=3),$M13/3,IF(AND(AL13=1,SUM($AJ13:$AO13)=2),$M13/2,IF(AND(AL13=1,SUM($AJ13:$AO13)=1),$M13,0))))))</f>
        <v>0</v>
      </c>
      <c r="AS13" s="28" t="n">
        <f aca="false">IF(AND(AM13=1,SUM($AJ13:$AO13)=6),$M13/6,IF(AND(AM13=1,SUM($AJ13:$AO13)=5),$M13/5,IF(AND(AM13=1,SUM($AJ13:$AO13)=4),$M13/4,IF(AND(AM13=1,SUM($AJ13:$AO13)=3),$M13/3,IF(AND(AM13=1,SUM($AJ13:$AO13)=2),$M13/2,IF(AND(AM13=1,SUM($AJ13:$AO13)=1),$M13,0))))))</f>
        <v>0</v>
      </c>
      <c r="AT13" s="28" t="n">
        <f aca="false">IF(AND(AN13=1,SUM($AJ13:$AO13)=6),$M13/6,IF(AND(AN13=1,SUM($AJ13:$AO13)=5),$M13/5,IF(AND(AN13=1,SUM($AJ13:$AO13)=4),$M13/4,IF(AND(AN13=1,SUM($AJ13:$AO13)=3),$M13/3,IF(AND(AN13=1,SUM($AJ13:$AO13)=2),$M13/2,IF(AND(AN13=1,SUM($AJ13:$AO13)=1),$M13,0))))))</f>
        <v>0</v>
      </c>
      <c r="AU13" s="28" t="n">
        <f aca="false">IF(AND(AO13=1,SUM($AJ13:$AO13)=6),$M13/6,IF(AND(AO13=1,SUM($AJ13:$AO13)=5),$M13/5,IF(AND(AO13=1,SUM($AJ13:$AO13)=4),$M13/4,IF(AND(AO13=1,SUM($AJ13:$AO13)=3),$M13/3,IF(AND(AO13=1,SUM($AJ13:$AO13)=2),$M13/2,IF(AND(AO13=1,SUM($AJ13:$AO13)=1),$M13,0))))))</f>
        <v>0</v>
      </c>
      <c r="AV13" s="29" t="s">
        <v>114</v>
      </c>
      <c r="AW13" s="29" t="s">
        <v>181</v>
      </c>
      <c r="AX13" s="29" t="s">
        <v>116</v>
      </c>
      <c r="AY13" s="30"/>
      <c r="AZ13" s="26" t="s">
        <v>116</v>
      </c>
      <c r="BA13" s="30"/>
      <c r="BB13" s="29" t="s">
        <v>117</v>
      </c>
      <c r="BC13" s="30"/>
      <c r="BD13" s="29" t="s">
        <v>117</v>
      </c>
      <c r="BE13" s="29" t="s">
        <v>182</v>
      </c>
      <c r="BF13" s="29" t="s">
        <v>116</v>
      </c>
      <c r="BG13" s="30" t="s">
        <v>119</v>
      </c>
    </row>
    <row r="14" customFormat="false" ht="39.55" hidden="false" customHeight="false" outlineLevel="0" collapsed="false">
      <c r="A14" s="20" t="n">
        <v>12</v>
      </c>
      <c r="B14" s="20" t="s">
        <v>9</v>
      </c>
      <c r="C14" s="20" t="s">
        <v>127</v>
      </c>
      <c r="D14" s="32" t="s">
        <v>183</v>
      </c>
      <c r="E14" s="32" t="s">
        <v>46</v>
      </c>
      <c r="F14" s="21" t="s">
        <v>4</v>
      </c>
      <c r="G14" s="21" t="s">
        <v>109</v>
      </c>
      <c r="H14" s="21" t="s">
        <v>149</v>
      </c>
      <c r="I14" s="22" t="s">
        <v>111</v>
      </c>
      <c r="J14" s="22" t="s">
        <v>22</v>
      </c>
      <c r="K14" s="23" t="s">
        <v>130</v>
      </c>
      <c r="L14" s="24" t="n">
        <f aca="false">M14*3600</f>
        <v>3619800000</v>
      </c>
      <c r="M14" s="25" t="n">
        <v>1005500</v>
      </c>
      <c r="N14" s="21"/>
      <c r="O14" s="21" t="s">
        <v>184</v>
      </c>
      <c r="P14" s="21" t="s">
        <v>133</v>
      </c>
      <c r="Q14" s="21" t="s">
        <v>22</v>
      </c>
      <c r="R14" s="27" t="n">
        <v>1</v>
      </c>
      <c r="S14" s="27" t="n">
        <v>1</v>
      </c>
      <c r="T14" s="27" t="n">
        <v>1</v>
      </c>
      <c r="U14" s="26"/>
      <c r="V14" s="26"/>
      <c r="W14" s="26"/>
      <c r="X14" s="27" t="n">
        <v>1</v>
      </c>
      <c r="Y14" s="27" t="n">
        <v>1</v>
      </c>
      <c r="Z14" s="27" t="n">
        <v>1</v>
      </c>
      <c r="AA14" s="26"/>
      <c r="AB14" s="26"/>
      <c r="AC14" s="26"/>
      <c r="AD14" s="26"/>
      <c r="AE14" s="26"/>
      <c r="AF14" s="26"/>
      <c r="AG14" s="26"/>
      <c r="AH14" s="26"/>
      <c r="AI14" s="26"/>
      <c r="AJ14" s="22" t="n">
        <f aca="false">IF(SUM(R14:T14)&gt;0,1,0)</f>
        <v>1</v>
      </c>
      <c r="AK14" s="22" t="n">
        <f aca="false">IF(SUM(U14:W14)&gt;0,1,0)</f>
        <v>0</v>
      </c>
      <c r="AL14" s="22" t="n">
        <f aca="false">IF(SUM(X14:Z14)&gt;0,1,0)</f>
        <v>1</v>
      </c>
      <c r="AM14" s="22" t="n">
        <f aca="false">IF(SUM(AA14:AC14)&gt;0,1,0)</f>
        <v>0</v>
      </c>
      <c r="AN14" s="22" t="n">
        <f aca="false">IF(SUM(AD14:AF14)&gt;0,1,0)</f>
        <v>0</v>
      </c>
      <c r="AO14" s="22" t="n">
        <f aca="false">IF(SUM(AG14:AI14)&gt;0,1,0)</f>
        <v>0</v>
      </c>
      <c r="AP14" s="28" t="n">
        <f aca="false">IF(AND(AJ14=1,SUM($AJ14:$AO14)=6),$M14/6,IF(AND(AJ14=1,SUM($AJ14:$AO14)=5),$M14/5,IF(AND(AJ14=1,SUM($AJ14:$AO14)=4),$M14/4,IF(AND(AJ14=1,SUM($AJ14:$AO14)=3),$M14/3,IF(AND(AJ14=1,SUM($AJ14:$AO14)=2),$M14/2,IF(AND(AJ14=1,SUM($AJ14:$AO14)=1),$M14,0))))))</f>
        <v>502750</v>
      </c>
      <c r="AQ14" s="28" t="n">
        <f aca="false">IF(AND(AK14=1,SUM($AJ14:$AO14)=6),$M14/6,IF(AND(AK14=1,SUM($AJ14:$AO14)=5),$M14/5,IF(AND(AK14=1,SUM($AJ14:$AO14)=4),$M14/4,IF(AND(AK14=1,SUM($AJ14:$AO14)=3),$M14/3,IF(AND(AK14=1,SUM($AJ14:$AO14)=2),$M14/2,IF(AND(AK14=1,SUM($AJ14:$AO14)=1),$M14,0))))))</f>
        <v>0</v>
      </c>
      <c r="AR14" s="28" t="n">
        <f aca="false">IF(AND(AL14=1,SUM($AJ14:$AO14)=6),$M14/6,IF(AND(AL14=1,SUM($AJ14:$AO14)=5),$M14/5,IF(AND(AL14=1,SUM($AJ14:$AO14)=4),$M14/4,IF(AND(AL14=1,SUM($AJ14:$AO14)=3),$M14/3,IF(AND(AL14=1,SUM($AJ14:$AO14)=2),$M14/2,IF(AND(AL14=1,SUM($AJ14:$AO14)=1),$M14,0))))))</f>
        <v>502750</v>
      </c>
      <c r="AS14" s="28" t="n">
        <f aca="false">IF(AND(AM14=1,SUM($AJ14:$AO14)=6),$M14/6,IF(AND(AM14=1,SUM($AJ14:$AO14)=5),$M14/5,IF(AND(AM14=1,SUM($AJ14:$AO14)=4),$M14/4,IF(AND(AM14=1,SUM($AJ14:$AO14)=3),$M14/3,IF(AND(AM14=1,SUM($AJ14:$AO14)=2),$M14/2,IF(AND(AM14=1,SUM($AJ14:$AO14)=1),$M14,0))))))</f>
        <v>0</v>
      </c>
      <c r="AT14" s="28" t="n">
        <f aca="false">IF(AND(AN14=1,SUM($AJ14:$AO14)=6),$M14/6,IF(AND(AN14=1,SUM($AJ14:$AO14)=5),$M14/5,IF(AND(AN14=1,SUM($AJ14:$AO14)=4),$M14/4,IF(AND(AN14=1,SUM($AJ14:$AO14)=3),$M14/3,IF(AND(AN14=1,SUM($AJ14:$AO14)=2),$M14/2,IF(AND(AN14=1,SUM($AJ14:$AO14)=1),$M14,0))))))</f>
        <v>0</v>
      </c>
      <c r="AU14" s="28" t="n">
        <f aca="false">IF(AND(AO14=1,SUM($AJ14:$AO14)=6),$M14/6,IF(AND(AO14=1,SUM($AJ14:$AO14)=5),$M14/5,IF(AND(AO14=1,SUM($AJ14:$AO14)=4),$M14/4,IF(AND(AO14=1,SUM($AJ14:$AO14)=3),$M14/3,IF(AND(AO14=1,SUM($AJ14:$AO14)=2),$M14/2,IF(AND(AO14=1,SUM($AJ14:$AO14)=1),$M14,0))))))</f>
        <v>0</v>
      </c>
      <c r="AV14" s="29" t="s">
        <v>114</v>
      </c>
      <c r="AW14" s="29" t="s">
        <v>185</v>
      </c>
      <c r="AX14" s="29" t="s">
        <v>117</v>
      </c>
      <c r="AY14" s="30"/>
      <c r="AZ14" s="26" t="s">
        <v>116</v>
      </c>
      <c r="BA14" s="30"/>
      <c r="BB14" s="29" t="s">
        <v>117</v>
      </c>
      <c r="BC14" s="30"/>
      <c r="BD14" s="29" t="s">
        <v>117</v>
      </c>
      <c r="BE14" s="29" t="s">
        <v>186</v>
      </c>
      <c r="BF14" s="29" t="s">
        <v>116</v>
      </c>
      <c r="BG14" s="30" t="s">
        <v>119</v>
      </c>
    </row>
    <row r="15" customFormat="false" ht="128.35" hidden="false" customHeight="false" outlineLevel="0" collapsed="false">
      <c r="A15" s="20" t="n">
        <v>13</v>
      </c>
      <c r="B15" s="20" t="s">
        <v>9</v>
      </c>
      <c r="C15" s="20" t="s">
        <v>127</v>
      </c>
      <c r="D15" s="20" t="s">
        <v>187</v>
      </c>
      <c r="E15" s="20" t="s">
        <v>45</v>
      </c>
      <c r="F15" s="21" t="s">
        <v>4</v>
      </c>
      <c r="G15" s="21" t="s">
        <v>109</v>
      </c>
      <c r="H15" s="21" t="s">
        <v>188</v>
      </c>
      <c r="I15" s="22" t="s">
        <v>111</v>
      </c>
      <c r="J15" s="22" t="s">
        <v>23</v>
      </c>
      <c r="K15" s="23" t="s">
        <v>16</v>
      </c>
      <c r="L15" s="24" t="n">
        <f aca="false">M15*3600</f>
        <v>3621600000</v>
      </c>
      <c r="M15" s="25" t="n">
        <v>1006000</v>
      </c>
      <c r="N15" s="21" t="s">
        <v>189</v>
      </c>
      <c r="O15" s="21" t="s">
        <v>190</v>
      </c>
      <c r="P15" s="21" t="s">
        <v>133</v>
      </c>
      <c r="Q15" s="21" t="s">
        <v>191</v>
      </c>
      <c r="R15" s="27" t="n">
        <v>1</v>
      </c>
      <c r="S15" s="27" t="n">
        <v>1</v>
      </c>
      <c r="T15" s="27" t="n">
        <v>1</v>
      </c>
      <c r="U15" s="27" t="n">
        <v>1</v>
      </c>
      <c r="V15" s="27" t="n">
        <v>1</v>
      </c>
      <c r="W15" s="27" t="n">
        <v>1</v>
      </c>
      <c r="X15" s="27" t="n">
        <v>1</v>
      </c>
      <c r="Y15" s="27" t="n">
        <v>1</v>
      </c>
      <c r="Z15" s="27" t="n">
        <v>1</v>
      </c>
      <c r="AA15" s="27" t="n">
        <v>1</v>
      </c>
      <c r="AB15" s="27" t="n">
        <v>1</v>
      </c>
      <c r="AC15" s="27" t="n">
        <v>1</v>
      </c>
      <c r="AD15" s="26"/>
      <c r="AE15" s="26"/>
      <c r="AF15" s="26"/>
      <c r="AG15" s="26"/>
      <c r="AH15" s="26"/>
      <c r="AI15" s="26"/>
      <c r="AJ15" s="22" t="n">
        <f aca="false">IF(SUM(R15:T15)&gt;0,1,0)</f>
        <v>1</v>
      </c>
      <c r="AK15" s="22" t="n">
        <f aca="false">IF(SUM(U15:W15)&gt;0,1,0)</f>
        <v>1</v>
      </c>
      <c r="AL15" s="22" t="n">
        <f aca="false">IF(SUM(X15:Z15)&gt;0,1,0)</f>
        <v>1</v>
      </c>
      <c r="AM15" s="22" t="n">
        <f aca="false">IF(SUM(AA15:AC15)&gt;0,1,0)</f>
        <v>1</v>
      </c>
      <c r="AN15" s="22" t="n">
        <f aca="false">IF(SUM(AD15:AF15)&gt;0,1,0)</f>
        <v>0</v>
      </c>
      <c r="AO15" s="22" t="n">
        <f aca="false">IF(SUM(AG15:AI15)&gt;0,1,0)</f>
        <v>0</v>
      </c>
      <c r="AP15" s="28" t="n">
        <f aca="false">IF(AND(AJ15=1,SUM($AJ15:$AO15)=6),$M15/6,IF(AND(AJ15=1,SUM($AJ15:$AO15)=5),$M15/5,IF(AND(AJ15=1,SUM($AJ15:$AO15)=4),$M15/4,IF(AND(AJ15=1,SUM($AJ15:$AO15)=3),$M15/3,IF(AND(AJ15=1,SUM($AJ15:$AO15)=2),$M15/2,IF(AND(AJ15=1,SUM($AJ15:$AO15)=1),$M15,0))))))</f>
        <v>251500</v>
      </c>
      <c r="AQ15" s="28" t="n">
        <f aca="false">IF(AND(AK15=1,SUM($AJ15:$AO15)=6),$M15/6,IF(AND(AK15=1,SUM($AJ15:$AO15)=5),$M15/5,IF(AND(AK15=1,SUM($AJ15:$AO15)=4),$M15/4,IF(AND(AK15=1,SUM($AJ15:$AO15)=3),$M15/3,IF(AND(AK15=1,SUM($AJ15:$AO15)=2),$M15/2,IF(AND(AK15=1,SUM($AJ15:$AO15)=1),$M15,0))))))</f>
        <v>251500</v>
      </c>
      <c r="AR15" s="28" t="n">
        <f aca="false">IF(AND(AL15=1,SUM($AJ15:$AO15)=6),$M15/6,IF(AND(AL15=1,SUM($AJ15:$AO15)=5),$M15/5,IF(AND(AL15=1,SUM($AJ15:$AO15)=4),$M15/4,IF(AND(AL15=1,SUM($AJ15:$AO15)=3),$M15/3,IF(AND(AL15=1,SUM($AJ15:$AO15)=2),$M15/2,IF(AND(AL15=1,SUM($AJ15:$AO15)=1),$M15,0))))))</f>
        <v>251500</v>
      </c>
      <c r="AS15" s="28" t="n">
        <f aca="false">IF(AND(AM15=1,SUM($AJ15:$AO15)=6),$M15/6,IF(AND(AM15=1,SUM($AJ15:$AO15)=5),$M15/5,IF(AND(AM15=1,SUM($AJ15:$AO15)=4),$M15/4,IF(AND(AM15=1,SUM($AJ15:$AO15)=3),$M15/3,IF(AND(AM15=1,SUM($AJ15:$AO15)=2),$M15/2,IF(AND(AM15=1,SUM($AJ15:$AO15)=1),$M15,0))))))</f>
        <v>251500</v>
      </c>
      <c r="AT15" s="28" t="n">
        <f aca="false">IF(AND(AN15=1,SUM($AJ15:$AO15)=6),$M15/6,IF(AND(AN15=1,SUM($AJ15:$AO15)=5),$M15/5,IF(AND(AN15=1,SUM($AJ15:$AO15)=4),$M15/4,IF(AND(AN15=1,SUM($AJ15:$AO15)=3),$M15/3,IF(AND(AN15=1,SUM($AJ15:$AO15)=2),$M15/2,IF(AND(AN15=1,SUM($AJ15:$AO15)=1),$M15,0))))))</f>
        <v>0</v>
      </c>
      <c r="AU15" s="28" t="n">
        <f aca="false">IF(AND(AO15=1,SUM($AJ15:$AO15)=6),$M15/6,IF(AND(AO15=1,SUM($AJ15:$AO15)=5),$M15/5,IF(AND(AO15=1,SUM($AJ15:$AO15)=4),$M15/4,IF(AND(AO15=1,SUM($AJ15:$AO15)=3),$M15/3,IF(AND(AO15=1,SUM($AJ15:$AO15)=2),$M15/2,IF(AND(AO15=1,SUM($AJ15:$AO15)=1),$M15,0))))))</f>
        <v>0</v>
      </c>
      <c r="AV15" s="29" t="s">
        <v>114</v>
      </c>
      <c r="AW15" s="29" t="s">
        <v>192</v>
      </c>
      <c r="AX15" s="29" t="s">
        <v>117</v>
      </c>
      <c r="AY15" s="26"/>
      <c r="AZ15" s="29" t="s">
        <v>117</v>
      </c>
      <c r="BA15" s="26"/>
      <c r="BB15" s="29" t="s">
        <v>116</v>
      </c>
      <c r="BC15" s="26"/>
      <c r="BD15" s="29" t="s">
        <v>117</v>
      </c>
      <c r="BE15" s="29" t="s">
        <v>193</v>
      </c>
      <c r="BF15" s="29" t="s">
        <v>114</v>
      </c>
      <c r="BG15" s="30" t="s">
        <v>119</v>
      </c>
    </row>
    <row r="16" customFormat="false" ht="166.4" hidden="false" customHeight="false" outlineLevel="0" collapsed="false">
      <c r="A16" s="20" t="n">
        <v>14</v>
      </c>
      <c r="B16" s="20" t="s">
        <v>9</v>
      </c>
      <c r="C16" s="20" t="s">
        <v>127</v>
      </c>
      <c r="D16" s="20" t="s">
        <v>194</v>
      </c>
      <c r="E16" s="20" t="s">
        <v>45</v>
      </c>
      <c r="F16" s="21" t="s">
        <v>4</v>
      </c>
      <c r="G16" s="21" t="s">
        <v>109</v>
      </c>
      <c r="H16" s="21" t="s">
        <v>195</v>
      </c>
      <c r="I16" s="22" t="s">
        <v>111</v>
      </c>
      <c r="J16" s="22" t="s">
        <v>23</v>
      </c>
      <c r="K16" s="23" t="s">
        <v>122</v>
      </c>
      <c r="L16" s="24" t="n">
        <f aca="false">M16*3600</f>
        <v>3623400000</v>
      </c>
      <c r="M16" s="25" t="n">
        <v>1006500</v>
      </c>
      <c r="N16" s="21" t="s">
        <v>196</v>
      </c>
      <c r="O16" s="21" t="s">
        <v>197</v>
      </c>
      <c r="P16" s="21" t="s">
        <v>133</v>
      </c>
      <c r="Q16" s="21" t="s">
        <v>198</v>
      </c>
      <c r="R16" s="26"/>
      <c r="S16" s="26"/>
      <c r="T16" s="26"/>
      <c r="U16" s="27" t="n">
        <v>1</v>
      </c>
      <c r="V16" s="27" t="n">
        <v>1</v>
      </c>
      <c r="W16" s="27" t="n">
        <v>1</v>
      </c>
      <c r="X16" s="27" t="n">
        <v>1</v>
      </c>
      <c r="Y16" s="27" t="n">
        <v>1</v>
      </c>
      <c r="Z16" s="27" t="n">
        <v>1</v>
      </c>
      <c r="AA16" s="26"/>
      <c r="AB16" s="26"/>
      <c r="AC16" s="26"/>
      <c r="AD16" s="26"/>
      <c r="AE16" s="26"/>
      <c r="AF16" s="26"/>
      <c r="AG16" s="26"/>
      <c r="AH16" s="26"/>
      <c r="AI16" s="26"/>
      <c r="AJ16" s="22" t="n">
        <f aca="false">IF(SUM(R16:T16)&gt;0,1,0)</f>
        <v>0</v>
      </c>
      <c r="AK16" s="22" t="n">
        <f aca="false">IF(SUM(U16:W16)&gt;0,1,0)</f>
        <v>1</v>
      </c>
      <c r="AL16" s="22" t="n">
        <f aca="false">IF(SUM(X16:Z16)&gt;0,1,0)</f>
        <v>1</v>
      </c>
      <c r="AM16" s="22" t="n">
        <f aca="false">IF(SUM(AA16:AC16)&gt;0,1,0)</f>
        <v>0</v>
      </c>
      <c r="AN16" s="22" t="n">
        <f aca="false">IF(SUM(AD16:AF16)&gt;0,1,0)</f>
        <v>0</v>
      </c>
      <c r="AO16" s="22" t="n">
        <f aca="false">IF(SUM(AG16:AI16)&gt;0,1,0)</f>
        <v>0</v>
      </c>
      <c r="AP16" s="28" t="n">
        <f aca="false">IF(AND(AJ16=1,SUM($AJ16:$AO16)=6),$M16/6,IF(AND(AJ16=1,SUM($AJ16:$AO16)=5),$M16/5,IF(AND(AJ16=1,SUM($AJ16:$AO16)=4),$M16/4,IF(AND(AJ16=1,SUM($AJ16:$AO16)=3),$M16/3,IF(AND(AJ16=1,SUM($AJ16:$AO16)=2),$M16/2,IF(AND(AJ16=1,SUM($AJ16:$AO16)=1),$M16,0))))))</f>
        <v>0</v>
      </c>
      <c r="AQ16" s="28" t="n">
        <f aca="false">IF(AND(AK16=1,SUM($AJ16:$AO16)=6),$M16/6,IF(AND(AK16=1,SUM($AJ16:$AO16)=5),$M16/5,IF(AND(AK16=1,SUM($AJ16:$AO16)=4),$M16/4,IF(AND(AK16=1,SUM($AJ16:$AO16)=3),$M16/3,IF(AND(AK16=1,SUM($AJ16:$AO16)=2),$M16/2,IF(AND(AK16=1,SUM($AJ16:$AO16)=1),$M16,0))))))</f>
        <v>503250</v>
      </c>
      <c r="AR16" s="28" t="n">
        <f aca="false">IF(AND(AL16=1,SUM($AJ16:$AO16)=6),$M16/6,IF(AND(AL16=1,SUM($AJ16:$AO16)=5),$M16/5,IF(AND(AL16=1,SUM($AJ16:$AO16)=4),$M16/4,IF(AND(AL16=1,SUM($AJ16:$AO16)=3),$M16/3,IF(AND(AL16=1,SUM($AJ16:$AO16)=2),$M16/2,IF(AND(AL16=1,SUM($AJ16:$AO16)=1),$M16,0))))))</f>
        <v>503250</v>
      </c>
      <c r="AS16" s="28" t="n">
        <f aca="false">IF(AND(AM16=1,SUM($AJ16:$AO16)=6),$M16/6,IF(AND(AM16=1,SUM($AJ16:$AO16)=5),$M16/5,IF(AND(AM16=1,SUM($AJ16:$AO16)=4),$M16/4,IF(AND(AM16=1,SUM($AJ16:$AO16)=3),$M16/3,IF(AND(AM16=1,SUM($AJ16:$AO16)=2),$M16/2,IF(AND(AM16=1,SUM($AJ16:$AO16)=1),$M16,0))))))</f>
        <v>0</v>
      </c>
      <c r="AT16" s="28" t="n">
        <f aca="false">IF(AND(AN16=1,SUM($AJ16:$AO16)=6),$M16/6,IF(AND(AN16=1,SUM($AJ16:$AO16)=5),$M16/5,IF(AND(AN16=1,SUM($AJ16:$AO16)=4),$M16/4,IF(AND(AN16=1,SUM($AJ16:$AO16)=3),$M16/3,IF(AND(AN16=1,SUM($AJ16:$AO16)=2),$M16/2,IF(AND(AN16=1,SUM($AJ16:$AO16)=1),$M16,0))))))</f>
        <v>0</v>
      </c>
      <c r="AU16" s="28" t="n">
        <f aca="false">IF(AND(AO16=1,SUM($AJ16:$AO16)=6),$M16/6,IF(AND(AO16=1,SUM($AJ16:$AO16)=5),$M16/5,IF(AND(AO16=1,SUM($AJ16:$AO16)=4),$M16/4,IF(AND(AO16=1,SUM($AJ16:$AO16)=3),$M16/3,IF(AND(AO16=1,SUM($AJ16:$AO16)=2),$M16/2,IF(AND(AO16=1,SUM($AJ16:$AO16)=1),$M16,0))))))</f>
        <v>0</v>
      </c>
      <c r="AV16" s="29" t="s">
        <v>114</v>
      </c>
      <c r="AW16" s="29" t="s">
        <v>199</v>
      </c>
      <c r="AX16" s="29" t="s">
        <v>117</v>
      </c>
      <c r="AY16" s="30"/>
      <c r="AZ16" s="29" t="s">
        <v>114</v>
      </c>
      <c r="BA16" s="30"/>
      <c r="BB16" s="29" t="s">
        <v>116</v>
      </c>
      <c r="BC16" s="30"/>
      <c r="BD16" s="26" t="s">
        <v>116</v>
      </c>
      <c r="BE16" s="29" t="s">
        <v>200</v>
      </c>
      <c r="BF16" s="29" t="s">
        <v>114</v>
      </c>
      <c r="BG16" s="30" t="s">
        <v>119</v>
      </c>
    </row>
    <row r="17" customFormat="false" ht="39.55" hidden="false" customHeight="false" outlineLevel="0" collapsed="false">
      <c r="A17" s="20" t="n">
        <v>15</v>
      </c>
      <c r="B17" s="20" t="s">
        <v>9</v>
      </c>
      <c r="C17" s="20" t="s">
        <v>127</v>
      </c>
      <c r="D17" s="20" t="s">
        <v>201</v>
      </c>
      <c r="E17" s="20" t="s">
        <v>46</v>
      </c>
      <c r="F17" s="20" t="s">
        <v>4</v>
      </c>
      <c r="G17" s="20" t="s">
        <v>109</v>
      </c>
      <c r="H17" s="21" t="s">
        <v>202</v>
      </c>
      <c r="I17" s="22" t="s">
        <v>111</v>
      </c>
      <c r="J17" s="22" t="s">
        <v>23</v>
      </c>
      <c r="K17" s="23" t="s">
        <v>130</v>
      </c>
      <c r="L17" s="24" t="n">
        <f aca="false">M17*3600</f>
        <v>3625200000</v>
      </c>
      <c r="M17" s="25" t="n">
        <v>1007000</v>
      </c>
      <c r="N17" s="21" t="s">
        <v>203</v>
      </c>
      <c r="O17" s="21" t="s">
        <v>190</v>
      </c>
      <c r="P17" s="21" t="s">
        <v>133</v>
      </c>
      <c r="Q17" s="21" t="s">
        <v>204</v>
      </c>
      <c r="R17" s="27" t="n">
        <v>1</v>
      </c>
      <c r="S17" s="27" t="n">
        <v>1</v>
      </c>
      <c r="T17" s="27" t="n">
        <v>1</v>
      </c>
      <c r="U17" s="27" t="n">
        <v>1</v>
      </c>
      <c r="V17" s="27" t="n">
        <v>1</v>
      </c>
      <c r="W17" s="27" t="n">
        <v>1</v>
      </c>
      <c r="X17" s="27" t="n">
        <v>1</v>
      </c>
      <c r="Y17" s="27" t="n">
        <v>1</v>
      </c>
      <c r="Z17" s="27" t="n">
        <v>1</v>
      </c>
      <c r="AA17" s="27" t="n">
        <v>1</v>
      </c>
      <c r="AB17" s="27" t="n">
        <v>1</v>
      </c>
      <c r="AC17" s="27" t="n">
        <v>1</v>
      </c>
      <c r="AD17" s="26"/>
      <c r="AE17" s="26"/>
      <c r="AF17" s="26"/>
      <c r="AG17" s="26"/>
      <c r="AH17" s="26"/>
      <c r="AI17" s="26"/>
      <c r="AJ17" s="22" t="n">
        <f aca="false">IF(SUM(R17:T17)&gt;0,1,0)</f>
        <v>1</v>
      </c>
      <c r="AK17" s="22" t="n">
        <f aca="false">IF(SUM(U17:W17)&gt;0,1,0)</f>
        <v>1</v>
      </c>
      <c r="AL17" s="22" t="n">
        <f aca="false">IF(SUM(X17:Z17)&gt;0,1,0)</f>
        <v>1</v>
      </c>
      <c r="AM17" s="22" t="n">
        <f aca="false">IF(SUM(AA17:AC17)&gt;0,1,0)</f>
        <v>1</v>
      </c>
      <c r="AN17" s="22" t="n">
        <f aca="false">IF(SUM(AD17:AF17)&gt;0,1,0)</f>
        <v>0</v>
      </c>
      <c r="AO17" s="22" t="n">
        <f aca="false">IF(SUM(AG17:AI17)&gt;0,1,0)</f>
        <v>0</v>
      </c>
      <c r="AP17" s="28" t="n">
        <f aca="false">IF(AND(AJ17=1,SUM($AJ17:$AO17)=6),$M17/6,IF(AND(AJ17=1,SUM($AJ17:$AO17)=5),$M17/5,IF(AND(AJ17=1,SUM($AJ17:$AO17)=4),$M17/4,IF(AND(AJ17=1,SUM($AJ17:$AO17)=3),$M17/3,IF(AND(AJ17=1,SUM($AJ17:$AO17)=2),$M17/2,IF(AND(AJ17=1,SUM($AJ17:$AO17)=1),$M17,0))))))</f>
        <v>251750</v>
      </c>
      <c r="AQ17" s="28" t="n">
        <f aca="false">IF(AND(AK17=1,SUM($AJ17:$AO17)=6),$M17/6,IF(AND(AK17=1,SUM($AJ17:$AO17)=5),$M17/5,IF(AND(AK17=1,SUM($AJ17:$AO17)=4),$M17/4,IF(AND(AK17=1,SUM($AJ17:$AO17)=3),$M17/3,IF(AND(AK17=1,SUM($AJ17:$AO17)=2),$M17/2,IF(AND(AK17=1,SUM($AJ17:$AO17)=1),$M17,0))))))</f>
        <v>251750</v>
      </c>
      <c r="AR17" s="28" t="n">
        <f aca="false">IF(AND(AL17=1,SUM($AJ17:$AO17)=6),$M17/6,IF(AND(AL17=1,SUM($AJ17:$AO17)=5),$M17/5,IF(AND(AL17=1,SUM($AJ17:$AO17)=4),$M17/4,IF(AND(AL17=1,SUM($AJ17:$AO17)=3),$M17/3,IF(AND(AL17=1,SUM($AJ17:$AO17)=2),$M17/2,IF(AND(AL17=1,SUM($AJ17:$AO17)=1),$M17,0))))))</f>
        <v>251750</v>
      </c>
      <c r="AS17" s="28" t="n">
        <f aca="false">IF(AND(AM17=1,SUM($AJ17:$AO17)=6),$M17/6,IF(AND(AM17=1,SUM($AJ17:$AO17)=5),$M17/5,IF(AND(AM17=1,SUM($AJ17:$AO17)=4),$M17/4,IF(AND(AM17=1,SUM($AJ17:$AO17)=3),$M17/3,IF(AND(AM17=1,SUM($AJ17:$AO17)=2),$M17/2,IF(AND(AM17=1,SUM($AJ17:$AO17)=1),$M17,0))))))</f>
        <v>251750</v>
      </c>
      <c r="AT17" s="28" t="n">
        <f aca="false">IF(AND(AN17=1,SUM($AJ17:$AO17)=6),$M17/6,IF(AND(AN17=1,SUM($AJ17:$AO17)=5),$M17/5,IF(AND(AN17=1,SUM($AJ17:$AO17)=4),$M17/4,IF(AND(AN17=1,SUM($AJ17:$AO17)=3),$M17/3,IF(AND(AN17=1,SUM($AJ17:$AO17)=2),$M17/2,IF(AND(AN17=1,SUM($AJ17:$AO17)=1),$M17,0))))))</f>
        <v>0</v>
      </c>
      <c r="AU17" s="28" t="n">
        <f aca="false">IF(AND(AO17=1,SUM($AJ17:$AO17)=6),$M17/6,IF(AND(AO17=1,SUM($AJ17:$AO17)=5),$M17/5,IF(AND(AO17=1,SUM($AJ17:$AO17)=4),$M17/4,IF(AND(AO17=1,SUM($AJ17:$AO17)=3),$M17/3,IF(AND(AO17=1,SUM($AJ17:$AO17)=2),$M17/2,IF(AND(AO17=1,SUM($AJ17:$AO17)=1),$M17,0))))))</f>
        <v>0</v>
      </c>
      <c r="AV17" s="29" t="s">
        <v>114</v>
      </c>
      <c r="AW17" s="29" t="s">
        <v>205</v>
      </c>
      <c r="AX17" s="29" t="s">
        <v>117</v>
      </c>
      <c r="AY17" s="30"/>
      <c r="AZ17" s="29" t="s">
        <v>114</v>
      </c>
      <c r="BA17" s="30"/>
      <c r="BB17" s="29" t="s">
        <v>116</v>
      </c>
      <c r="BC17" s="30"/>
      <c r="BD17" s="26" t="s">
        <v>116</v>
      </c>
      <c r="BE17" s="29" t="s">
        <v>206</v>
      </c>
      <c r="BF17" s="29" t="s">
        <v>114</v>
      </c>
      <c r="BG17" s="30" t="s">
        <v>119</v>
      </c>
    </row>
    <row r="18" customFormat="false" ht="39.55" hidden="false" customHeight="false" outlineLevel="0" collapsed="false">
      <c r="A18" s="20" t="n">
        <v>16</v>
      </c>
      <c r="B18" s="33" t="s">
        <v>11</v>
      </c>
      <c r="C18" s="20" t="s">
        <v>107</v>
      </c>
      <c r="D18" s="20" t="s">
        <v>207</v>
      </c>
      <c r="E18" s="20" t="s">
        <v>46</v>
      </c>
      <c r="F18" s="21" t="s">
        <v>4</v>
      </c>
      <c r="G18" s="21" t="s">
        <v>109</v>
      </c>
      <c r="H18" s="21" t="s">
        <v>208</v>
      </c>
      <c r="I18" s="22" t="s">
        <v>209</v>
      </c>
      <c r="J18" s="22" t="s">
        <v>10</v>
      </c>
      <c r="K18" s="23" t="s">
        <v>16</v>
      </c>
      <c r="L18" s="24" t="n">
        <f aca="false">M18*3600</f>
        <v>3627000000</v>
      </c>
      <c r="M18" s="25" t="n">
        <v>1007500</v>
      </c>
      <c r="N18" s="21" t="s">
        <v>210</v>
      </c>
      <c r="O18" s="31" t="n">
        <v>43952</v>
      </c>
      <c r="P18" s="21" t="s">
        <v>211</v>
      </c>
      <c r="Q18" s="21" t="s">
        <v>212</v>
      </c>
      <c r="R18" s="26"/>
      <c r="S18" s="26"/>
      <c r="T18" s="26"/>
      <c r="U18" s="26"/>
      <c r="V18" s="27" t="n">
        <v>1</v>
      </c>
      <c r="W18" s="26"/>
      <c r="X18" s="26"/>
      <c r="Y18" s="26"/>
      <c r="Z18" s="26"/>
      <c r="AA18" s="26"/>
      <c r="AB18" s="26"/>
      <c r="AC18" s="26"/>
      <c r="AD18" s="26"/>
      <c r="AE18" s="26"/>
      <c r="AF18" s="26"/>
      <c r="AG18" s="26"/>
      <c r="AH18" s="26"/>
      <c r="AI18" s="26"/>
      <c r="AJ18" s="22" t="n">
        <f aca="false">IF(SUM(R18:T18)&gt;0,1,0)</f>
        <v>0</v>
      </c>
      <c r="AK18" s="22" t="n">
        <f aca="false">IF(SUM(U18:W18)&gt;0,1,0)</f>
        <v>1</v>
      </c>
      <c r="AL18" s="22" t="n">
        <f aca="false">IF(SUM(X18:Z18)&gt;0,1,0)</f>
        <v>0</v>
      </c>
      <c r="AM18" s="22" t="n">
        <f aca="false">IF(SUM(AA18:AC18)&gt;0,1,0)</f>
        <v>0</v>
      </c>
      <c r="AN18" s="22" t="n">
        <f aca="false">IF(SUM(AD18:AF18)&gt;0,1,0)</f>
        <v>0</v>
      </c>
      <c r="AO18" s="22" t="n">
        <f aca="false">IF(SUM(AG18:AI18)&gt;0,1,0)</f>
        <v>0</v>
      </c>
      <c r="AP18" s="28" t="n">
        <f aca="false">IF(AND(AJ18=1,SUM($AJ18:$AO18)=6),$M18/6,IF(AND(AJ18=1,SUM($AJ18:$AO18)=5),$M18/5,IF(AND(AJ18=1,SUM($AJ18:$AO18)=4),$M18/4,IF(AND(AJ18=1,SUM($AJ18:$AO18)=3),$M18/3,IF(AND(AJ18=1,SUM($AJ18:$AO18)=2),$M18/2,IF(AND(AJ18=1,SUM($AJ18:$AO18)=1),$M18,0))))))</f>
        <v>0</v>
      </c>
      <c r="AQ18" s="28" t="n">
        <f aca="false">IF(AND(AK18=1,SUM($AJ18:$AO18)=6),$M18/6,IF(AND(AK18=1,SUM($AJ18:$AO18)=5),$M18/5,IF(AND(AK18=1,SUM($AJ18:$AO18)=4),$M18/4,IF(AND(AK18=1,SUM($AJ18:$AO18)=3),$M18/3,IF(AND(AK18=1,SUM($AJ18:$AO18)=2),$M18/2,IF(AND(AK18=1,SUM($AJ18:$AO18)=1),$M18,0))))))</f>
        <v>1007500</v>
      </c>
      <c r="AR18" s="28" t="n">
        <f aca="false">IF(AND(AL18=1,SUM($AJ18:$AO18)=6),$M18/6,IF(AND(AL18=1,SUM($AJ18:$AO18)=5),$M18/5,IF(AND(AL18=1,SUM($AJ18:$AO18)=4),$M18/4,IF(AND(AL18=1,SUM($AJ18:$AO18)=3),$M18/3,IF(AND(AL18=1,SUM($AJ18:$AO18)=2),$M18/2,IF(AND(AL18=1,SUM($AJ18:$AO18)=1),$M18,0))))))</f>
        <v>0</v>
      </c>
      <c r="AS18" s="28" t="n">
        <f aca="false">IF(AND(AM18=1,SUM($AJ18:$AO18)=6),$M18/6,IF(AND(AM18=1,SUM($AJ18:$AO18)=5),$M18/5,IF(AND(AM18=1,SUM($AJ18:$AO18)=4),$M18/4,IF(AND(AM18=1,SUM($AJ18:$AO18)=3),$M18/3,IF(AND(AM18=1,SUM($AJ18:$AO18)=2),$M18/2,IF(AND(AM18=1,SUM($AJ18:$AO18)=1),$M18,0))))))</f>
        <v>0</v>
      </c>
      <c r="AT18" s="28" t="n">
        <f aca="false">IF(AND(AN18=1,SUM($AJ18:$AO18)=6),$M18/6,IF(AND(AN18=1,SUM($AJ18:$AO18)=5),$M18/5,IF(AND(AN18=1,SUM($AJ18:$AO18)=4),$M18/4,IF(AND(AN18=1,SUM($AJ18:$AO18)=3),$M18/3,IF(AND(AN18=1,SUM($AJ18:$AO18)=2),$M18/2,IF(AND(AN18=1,SUM($AJ18:$AO18)=1),$M18,0))))))</f>
        <v>0</v>
      </c>
      <c r="AU18" s="28" t="n">
        <f aca="false">IF(AND(AO18=1,SUM($AJ18:$AO18)=6),$M18/6,IF(AND(AO18=1,SUM($AJ18:$AO18)=5),$M18/5,IF(AND(AO18=1,SUM($AJ18:$AO18)=4),$M18/4,IF(AND(AO18=1,SUM($AJ18:$AO18)=3),$M18/3,IF(AND(AO18=1,SUM($AJ18:$AO18)=2),$M18/2,IF(AND(AO18=1,SUM($AJ18:$AO18)=1),$M18,0))))))</f>
        <v>0</v>
      </c>
      <c r="AV18" s="29" t="s">
        <v>114</v>
      </c>
      <c r="AW18" s="29" t="s">
        <v>213</v>
      </c>
      <c r="AX18" s="29" t="s">
        <v>114</v>
      </c>
      <c r="AY18" s="30"/>
      <c r="AZ18" s="29" t="s">
        <v>114</v>
      </c>
      <c r="BA18" s="30"/>
      <c r="BB18" s="29" t="s">
        <v>116</v>
      </c>
      <c r="BC18" s="30"/>
      <c r="BD18" s="26" t="s">
        <v>116</v>
      </c>
      <c r="BE18" s="29" t="s">
        <v>214</v>
      </c>
      <c r="BF18" s="29" t="s">
        <v>114</v>
      </c>
      <c r="BG18" s="30" t="s">
        <v>119</v>
      </c>
    </row>
    <row r="19" customFormat="false" ht="39.55" hidden="false" customHeight="false" outlineLevel="0" collapsed="false">
      <c r="A19" s="20" t="n">
        <v>17</v>
      </c>
      <c r="B19" s="33" t="s">
        <v>11</v>
      </c>
      <c r="C19" s="20" t="s">
        <v>107</v>
      </c>
      <c r="D19" s="20" t="s">
        <v>215</v>
      </c>
      <c r="E19" s="20" t="s">
        <v>46</v>
      </c>
      <c r="F19" s="21" t="s">
        <v>4</v>
      </c>
      <c r="G19" s="21" t="s">
        <v>109</v>
      </c>
      <c r="H19" s="34" t="s">
        <v>216</v>
      </c>
      <c r="I19" s="22" t="s">
        <v>111</v>
      </c>
      <c r="J19" s="22" t="s">
        <v>10</v>
      </c>
      <c r="K19" s="23" t="s">
        <v>122</v>
      </c>
      <c r="L19" s="24" t="n">
        <f aca="false">M19*3600</f>
        <v>3628800000</v>
      </c>
      <c r="M19" s="25" t="n">
        <v>1008000</v>
      </c>
      <c r="N19" s="21" t="s">
        <v>217</v>
      </c>
      <c r="O19" s="21" t="s">
        <v>218</v>
      </c>
      <c r="P19" s="21" t="s">
        <v>219</v>
      </c>
      <c r="Q19" s="21" t="s">
        <v>212</v>
      </c>
      <c r="R19" s="26"/>
      <c r="S19" s="26"/>
      <c r="T19" s="26"/>
      <c r="U19" s="26"/>
      <c r="V19" s="26"/>
      <c r="W19" s="26"/>
      <c r="X19" s="27" t="n">
        <v>1</v>
      </c>
      <c r="Y19" s="27" t="n">
        <v>1</v>
      </c>
      <c r="Z19" s="27" t="n">
        <v>1</v>
      </c>
      <c r="AA19" s="26"/>
      <c r="AB19" s="26"/>
      <c r="AC19" s="26"/>
      <c r="AD19" s="26"/>
      <c r="AE19" s="26"/>
      <c r="AF19" s="26"/>
      <c r="AG19" s="26"/>
      <c r="AH19" s="26"/>
      <c r="AI19" s="26"/>
      <c r="AJ19" s="22" t="n">
        <f aca="false">IF(SUM(R19:T19)&gt;0,1,0)</f>
        <v>0</v>
      </c>
      <c r="AK19" s="22" t="n">
        <f aca="false">IF(SUM(U19:W19)&gt;0,1,0)</f>
        <v>0</v>
      </c>
      <c r="AL19" s="22" t="n">
        <f aca="false">IF(SUM(X19:Z19)&gt;0,1,0)</f>
        <v>1</v>
      </c>
      <c r="AM19" s="22" t="n">
        <f aca="false">IF(SUM(AA19:AC19)&gt;0,1,0)</f>
        <v>0</v>
      </c>
      <c r="AN19" s="22" t="n">
        <f aca="false">IF(SUM(AD19:AF19)&gt;0,1,0)</f>
        <v>0</v>
      </c>
      <c r="AO19" s="22" t="n">
        <f aca="false">IF(SUM(AG19:AI19)&gt;0,1,0)</f>
        <v>0</v>
      </c>
      <c r="AP19" s="28" t="n">
        <f aca="false">IF(AND(AJ19=1,SUM($AJ19:$AO19)=6),$M19/6,IF(AND(AJ19=1,SUM($AJ19:$AO19)=5),$M19/5,IF(AND(AJ19=1,SUM($AJ19:$AO19)=4),$M19/4,IF(AND(AJ19=1,SUM($AJ19:$AO19)=3),$M19/3,IF(AND(AJ19=1,SUM($AJ19:$AO19)=2),$M19/2,IF(AND(AJ19=1,SUM($AJ19:$AO19)=1),$M19,0))))))</f>
        <v>0</v>
      </c>
      <c r="AQ19" s="28" t="n">
        <f aca="false">IF(AND(AK19=1,SUM($AJ19:$AO19)=6),$M19/6,IF(AND(AK19=1,SUM($AJ19:$AO19)=5),$M19/5,IF(AND(AK19=1,SUM($AJ19:$AO19)=4),$M19/4,IF(AND(AK19=1,SUM($AJ19:$AO19)=3),$M19/3,IF(AND(AK19=1,SUM($AJ19:$AO19)=2),$M19/2,IF(AND(AK19=1,SUM($AJ19:$AO19)=1),$M19,0))))))</f>
        <v>0</v>
      </c>
      <c r="AR19" s="28" t="n">
        <f aca="false">IF(AND(AL19=1,SUM($AJ19:$AO19)=6),$M19/6,IF(AND(AL19=1,SUM($AJ19:$AO19)=5),$M19/5,IF(AND(AL19=1,SUM($AJ19:$AO19)=4),$M19/4,IF(AND(AL19=1,SUM($AJ19:$AO19)=3),$M19/3,IF(AND(AL19=1,SUM($AJ19:$AO19)=2),$M19/2,IF(AND(AL19=1,SUM($AJ19:$AO19)=1),$M19,0))))))</f>
        <v>1008000</v>
      </c>
      <c r="AS19" s="28" t="n">
        <f aca="false">IF(AND(AM19=1,SUM($AJ19:$AO19)=6),$M19/6,IF(AND(AM19=1,SUM($AJ19:$AO19)=5),$M19/5,IF(AND(AM19=1,SUM($AJ19:$AO19)=4),$M19/4,IF(AND(AM19=1,SUM($AJ19:$AO19)=3),$M19/3,IF(AND(AM19=1,SUM($AJ19:$AO19)=2),$M19/2,IF(AND(AM19=1,SUM($AJ19:$AO19)=1),$M19,0))))))</f>
        <v>0</v>
      </c>
      <c r="AT19" s="28" t="n">
        <f aca="false">IF(AND(AN19=1,SUM($AJ19:$AO19)=6),$M19/6,IF(AND(AN19=1,SUM($AJ19:$AO19)=5),$M19/5,IF(AND(AN19=1,SUM($AJ19:$AO19)=4),$M19/4,IF(AND(AN19=1,SUM($AJ19:$AO19)=3),$M19/3,IF(AND(AN19=1,SUM($AJ19:$AO19)=2),$M19/2,IF(AND(AN19=1,SUM($AJ19:$AO19)=1),$M19,0))))))</f>
        <v>0</v>
      </c>
      <c r="AU19" s="28" t="n">
        <f aca="false">IF(AND(AO19=1,SUM($AJ19:$AO19)=6),$M19/6,IF(AND(AO19=1,SUM($AJ19:$AO19)=5),$M19/5,IF(AND(AO19=1,SUM($AJ19:$AO19)=4),$M19/4,IF(AND(AO19=1,SUM($AJ19:$AO19)=3),$M19/3,IF(AND(AO19=1,SUM($AJ19:$AO19)=2),$M19/2,IF(AND(AO19=1,SUM($AJ19:$AO19)=1),$M19,0))))))</f>
        <v>0</v>
      </c>
      <c r="AV19" s="29" t="s">
        <v>114</v>
      </c>
      <c r="AW19" s="29" t="s">
        <v>220</v>
      </c>
      <c r="AX19" s="29" t="s">
        <v>116</v>
      </c>
      <c r="AY19" s="30"/>
      <c r="AZ19" s="29" t="s">
        <v>114</v>
      </c>
      <c r="BA19" s="30"/>
      <c r="BB19" s="29" t="s">
        <v>116</v>
      </c>
      <c r="BC19" s="30"/>
      <c r="BD19" s="29" t="s">
        <v>117</v>
      </c>
      <c r="BE19" s="29" t="s">
        <v>221</v>
      </c>
      <c r="BF19" s="29" t="s">
        <v>114</v>
      </c>
      <c r="BG19" s="30" t="s">
        <v>119</v>
      </c>
    </row>
    <row r="20" customFormat="false" ht="39.55" hidden="false" customHeight="false" outlineLevel="0" collapsed="false">
      <c r="A20" s="20" t="n">
        <v>18</v>
      </c>
      <c r="B20" s="33" t="s">
        <v>11</v>
      </c>
      <c r="C20" s="20" t="s">
        <v>107</v>
      </c>
      <c r="D20" s="20" t="s">
        <v>222</v>
      </c>
      <c r="E20" s="20" t="s">
        <v>45</v>
      </c>
      <c r="F20" s="21" t="s">
        <v>4</v>
      </c>
      <c r="G20" s="21" t="s">
        <v>109</v>
      </c>
      <c r="H20" s="35" t="s">
        <v>216</v>
      </c>
      <c r="I20" s="22" t="s">
        <v>111</v>
      </c>
      <c r="J20" s="22" t="s">
        <v>10</v>
      </c>
      <c r="K20" s="23" t="s">
        <v>130</v>
      </c>
      <c r="L20" s="24" t="n">
        <f aca="false">M20*3600</f>
        <v>3630600000</v>
      </c>
      <c r="M20" s="25" t="n">
        <v>1008500</v>
      </c>
      <c r="N20" s="21" t="s">
        <v>217</v>
      </c>
      <c r="O20" s="21" t="s">
        <v>152</v>
      </c>
      <c r="P20" s="21" t="s">
        <v>219</v>
      </c>
      <c r="Q20" s="21" t="s">
        <v>223</v>
      </c>
      <c r="R20" s="26"/>
      <c r="S20" s="26"/>
      <c r="T20" s="26"/>
      <c r="U20" s="26"/>
      <c r="V20" s="26"/>
      <c r="W20" s="26"/>
      <c r="X20" s="26"/>
      <c r="Y20" s="26"/>
      <c r="Z20" s="26"/>
      <c r="AA20" s="27" t="n">
        <v>1</v>
      </c>
      <c r="AB20" s="27" t="n">
        <v>1</v>
      </c>
      <c r="AC20" s="27" t="n">
        <v>1</v>
      </c>
      <c r="AD20" s="26"/>
      <c r="AE20" s="26"/>
      <c r="AF20" s="26"/>
      <c r="AG20" s="26"/>
      <c r="AH20" s="26"/>
      <c r="AI20" s="26"/>
      <c r="AJ20" s="22" t="n">
        <f aca="false">IF(SUM(R20:T20)&gt;0,1,0)</f>
        <v>0</v>
      </c>
      <c r="AK20" s="22" t="n">
        <f aca="false">IF(SUM(U20:W20)&gt;0,1,0)</f>
        <v>0</v>
      </c>
      <c r="AL20" s="22" t="n">
        <f aca="false">IF(SUM(X20:Z20)&gt;0,1,0)</f>
        <v>0</v>
      </c>
      <c r="AM20" s="22" t="n">
        <f aca="false">IF(SUM(AA20:AC20)&gt;0,1,0)</f>
        <v>1</v>
      </c>
      <c r="AN20" s="22" t="n">
        <f aca="false">IF(SUM(AD20:AF20)&gt;0,1,0)</f>
        <v>0</v>
      </c>
      <c r="AO20" s="22" t="n">
        <f aca="false">IF(SUM(AG20:AI20)&gt;0,1,0)</f>
        <v>0</v>
      </c>
      <c r="AP20" s="28" t="n">
        <f aca="false">IF(AND(AJ20=1,SUM($AJ20:$AO20)=6),$M20/6,IF(AND(AJ20=1,SUM($AJ20:$AO20)=5),$M20/5,IF(AND(AJ20=1,SUM($AJ20:$AO20)=4),$M20/4,IF(AND(AJ20=1,SUM($AJ20:$AO20)=3),$M20/3,IF(AND(AJ20=1,SUM($AJ20:$AO20)=2),$M20/2,IF(AND(AJ20=1,SUM($AJ20:$AO20)=1),$M20,0))))))</f>
        <v>0</v>
      </c>
      <c r="AQ20" s="28" t="n">
        <f aca="false">IF(AND(AK20=1,SUM($AJ20:$AO20)=6),$M20/6,IF(AND(AK20=1,SUM($AJ20:$AO20)=5),$M20/5,IF(AND(AK20=1,SUM($AJ20:$AO20)=4),$M20/4,IF(AND(AK20=1,SUM($AJ20:$AO20)=3),$M20/3,IF(AND(AK20=1,SUM($AJ20:$AO20)=2),$M20/2,IF(AND(AK20=1,SUM($AJ20:$AO20)=1),$M20,0))))))</f>
        <v>0</v>
      </c>
      <c r="AR20" s="28" t="n">
        <f aca="false">IF(AND(AL20=1,SUM($AJ20:$AO20)=6),$M20/6,IF(AND(AL20=1,SUM($AJ20:$AO20)=5),$M20/5,IF(AND(AL20=1,SUM($AJ20:$AO20)=4),$M20/4,IF(AND(AL20=1,SUM($AJ20:$AO20)=3),$M20/3,IF(AND(AL20=1,SUM($AJ20:$AO20)=2),$M20/2,IF(AND(AL20=1,SUM($AJ20:$AO20)=1),$M20,0))))))</f>
        <v>0</v>
      </c>
      <c r="AS20" s="28" t="n">
        <f aca="false">IF(AND(AM20=1,SUM($AJ20:$AO20)=6),$M20/6,IF(AND(AM20=1,SUM($AJ20:$AO20)=5),$M20/5,IF(AND(AM20=1,SUM($AJ20:$AO20)=4),$M20/4,IF(AND(AM20=1,SUM($AJ20:$AO20)=3),$M20/3,IF(AND(AM20=1,SUM($AJ20:$AO20)=2),$M20/2,IF(AND(AM20=1,SUM($AJ20:$AO20)=1),$M20,0))))))</f>
        <v>1008500</v>
      </c>
      <c r="AT20" s="28" t="n">
        <f aca="false">IF(AND(AN20=1,SUM($AJ20:$AO20)=6),$M20/6,IF(AND(AN20=1,SUM($AJ20:$AO20)=5),$M20/5,IF(AND(AN20=1,SUM($AJ20:$AO20)=4),$M20/4,IF(AND(AN20=1,SUM($AJ20:$AO20)=3),$M20/3,IF(AND(AN20=1,SUM($AJ20:$AO20)=2),$M20/2,IF(AND(AN20=1,SUM($AJ20:$AO20)=1),$M20,0))))))</f>
        <v>0</v>
      </c>
      <c r="AU20" s="28" t="n">
        <f aca="false">IF(AND(AO20=1,SUM($AJ20:$AO20)=6),$M20/6,IF(AND(AO20=1,SUM($AJ20:$AO20)=5),$M20/5,IF(AND(AO20=1,SUM($AJ20:$AO20)=4),$M20/4,IF(AND(AO20=1,SUM($AJ20:$AO20)=3),$M20/3,IF(AND(AO20=1,SUM($AJ20:$AO20)=2),$M20/2,IF(AND(AO20=1,SUM($AJ20:$AO20)=1),$M20,0))))))</f>
        <v>0</v>
      </c>
      <c r="AV20" s="29" t="s">
        <v>116</v>
      </c>
      <c r="AW20" s="29" t="s">
        <v>224</v>
      </c>
      <c r="AX20" s="29" t="s">
        <v>116</v>
      </c>
      <c r="AY20" s="30"/>
      <c r="AZ20" s="29" t="s">
        <v>117</v>
      </c>
      <c r="BA20" s="30"/>
      <c r="BB20" s="29" t="s">
        <v>116</v>
      </c>
      <c r="BC20" s="30"/>
      <c r="BD20" s="29" t="s">
        <v>117</v>
      </c>
      <c r="BE20" s="29" t="s">
        <v>225</v>
      </c>
      <c r="BF20" s="29" t="s">
        <v>117</v>
      </c>
      <c r="BG20" s="30" t="s">
        <v>119</v>
      </c>
    </row>
    <row r="21" customFormat="false" ht="39.55" hidden="false" customHeight="false" outlineLevel="0" collapsed="false">
      <c r="A21" s="20" t="n">
        <v>19</v>
      </c>
      <c r="B21" s="33" t="s">
        <v>11</v>
      </c>
      <c r="C21" s="20" t="s">
        <v>107</v>
      </c>
      <c r="D21" s="20" t="s">
        <v>226</v>
      </c>
      <c r="E21" s="20" t="s">
        <v>45</v>
      </c>
      <c r="F21" s="21" t="s">
        <v>4</v>
      </c>
      <c r="G21" s="21" t="s">
        <v>109</v>
      </c>
      <c r="H21" s="21" t="s">
        <v>121</v>
      </c>
      <c r="I21" s="22" t="s">
        <v>111</v>
      </c>
      <c r="J21" s="22" t="s">
        <v>10</v>
      </c>
      <c r="K21" s="23" t="s">
        <v>16</v>
      </c>
      <c r="L21" s="24" t="n">
        <f aca="false">M21*3600</f>
        <v>3632400000</v>
      </c>
      <c r="M21" s="25" t="n">
        <v>1009000</v>
      </c>
      <c r="N21" s="21" t="s">
        <v>227</v>
      </c>
      <c r="O21" s="21" t="s">
        <v>228</v>
      </c>
      <c r="P21" s="21" t="s">
        <v>211</v>
      </c>
      <c r="Q21" s="21" t="s">
        <v>223</v>
      </c>
      <c r="R21" s="26"/>
      <c r="S21" s="26"/>
      <c r="T21" s="26"/>
      <c r="U21" s="26"/>
      <c r="V21" s="26"/>
      <c r="W21" s="26"/>
      <c r="X21" s="26"/>
      <c r="Y21" s="26"/>
      <c r="Z21" s="26"/>
      <c r="AA21" s="26"/>
      <c r="AB21" s="26"/>
      <c r="AC21" s="27" t="n">
        <v>1</v>
      </c>
      <c r="AD21" s="27" t="n">
        <v>1</v>
      </c>
      <c r="AE21" s="27" t="n">
        <v>1</v>
      </c>
      <c r="AF21" s="27" t="n">
        <v>1</v>
      </c>
      <c r="AG21" s="27" t="n">
        <v>1</v>
      </c>
      <c r="AH21" s="27" t="n">
        <v>1</v>
      </c>
      <c r="AI21" s="27" t="n">
        <v>1</v>
      </c>
      <c r="AJ21" s="22" t="n">
        <f aca="false">IF(SUM(R21:T21)&gt;0,1,0)</f>
        <v>0</v>
      </c>
      <c r="AK21" s="22" t="n">
        <f aca="false">IF(SUM(U21:W21)&gt;0,1,0)</f>
        <v>0</v>
      </c>
      <c r="AL21" s="22" t="n">
        <f aca="false">IF(SUM(X21:Z21)&gt;0,1,0)</f>
        <v>0</v>
      </c>
      <c r="AM21" s="22" t="n">
        <f aca="false">IF(SUM(AA21:AC21)&gt;0,1,0)</f>
        <v>1</v>
      </c>
      <c r="AN21" s="22" t="n">
        <f aca="false">IF(SUM(AD21:AF21)&gt;0,1,0)</f>
        <v>1</v>
      </c>
      <c r="AO21" s="22" t="n">
        <f aca="false">IF(SUM(AG21:AI21)&gt;0,1,0)</f>
        <v>1</v>
      </c>
      <c r="AP21" s="28" t="n">
        <f aca="false">IF(AND(AJ21=1,SUM($AJ21:$AO21)=6),$M21/6,IF(AND(AJ21=1,SUM($AJ21:$AO21)=5),$M21/5,IF(AND(AJ21=1,SUM($AJ21:$AO21)=4),$M21/4,IF(AND(AJ21=1,SUM($AJ21:$AO21)=3),$M21/3,IF(AND(AJ21=1,SUM($AJ21:$AO21)=2),$M21/2,IF(AND(AJ21=1,SUM($AJ21:$AO21)=1),$M21,0))))))</f>
        <v>0</v>
      </c>
      <c r="AQ21" s="28" t="n">
        <f aca="false">IF(AND(AK21=1,SUM($AJ21:$AO21)=6),$M21/6,IF(AND(AK21=1,SUM($AJ21:$AO21)=5),$M21/5,IF(AND(AK21=1,SUM($AJ21:$AO21)=4),$M21/4,IF(AND(AK21=1,SUM($AJ21:$AO21)=3),$M21/3,IF(AND(AK21=1,SUM($AJ21:$AO21)=2),$M21/2,IF(AND(AK21=1,SUM($AJ21:$AO21)=1),$M21,0))))))</f>
        <v>0</v>
      </c>
      <c r="AR21" s="28" t="n">
        <f aca="false">IF(AND(AL21=1,SUM($AJ21:$AO21)=6),$M21/6,IF(AND(AL21=1,SUM($AJ21:$AO21)=5),$M21/5,IF(AND(AL21=1,SUM($AJ21:$AO21)=4),$M21/4,IF(AND(AL21=1,SUM($AJ21:$AO21)=3),$M21/3,IF(AND(AL21=1,SUM($AJ21:$AO21)=2),$M21/2,IF(AND(AL21=1,SUM($AJ21:$AO21)=1),$M21,0))))))</f>
        <v>0</v>
      </c>
      <c r="AS21" s="28" t="n">
        <f aca="false">IF(AND(AM21=1,SUM($AJ21:$AO21)=6),$M21/6,IF(AND(AM21=1,SUM($AJ21:$AO21)=5),$M21/5,IF(AND(AM21=1,SUM($AJ21:$AO21)=4),$M21/4,IF(AND(AM21=1,SUM($AJ21:$AO21)=3),$M21/3,IF(AND(AM21=1,SUM($AJ21:$AO21)=2),$M21/2,IF(AND(AM21=1,SUM($AJ21:$AO21)=1),$M21,0))))))</f>
        <v>336333.333333333</v>
      </c>
      <c r="AT21" s="28" t="n">
        <f aca="false">IF(AND(AN21=1,SUM($AJ21:$AO21)=6),$M21/6,IF(AND(AN21=1,SUM($AJ21:$AO21)=5),$M21/5,IF(AND(AN21=1,SUM($AJ21:$AO21)=4),$M21/4,IF(AND(AN21=1,SUM($AJ21:$AO21)=3),$M21/3,IF(AND(AN21=1,SUM($AJ21:$AO21)=2),$M21/2,IF(AND(AN21=1,SUM($AJ21:$AO21)=1),$M21,0))))))</f>
        <v>336333.333333333</v>
      </c>
      <c r="AU21" s="28" t="n">
        <f aca="false">IF(AND(AO21=1,SUM($AJ21:$AO21)=6),$M21/6,IF(AND(AO21=1,SUM($AJ21:$AO21)=5),$M21/5,IF(AND(AO21=1,SUM($AJ21:$AO21)=4),$M21/4,IF(AND(AO21=1,SUM($AJ21:$AO21)=3),$M21/3,IF(AND(AO21=1,SUM($AJ21:$AO21)=2),$M21/2,IF(AND(AO21=1,SUM($AJ21:$AO21)=1),$M21,0))))))</f>
        <v>336333.333333333</v>
      </c>
      <c r="AV21" s="29" t="s">
        <v>116</v>
      </c>
      <c r="AW21" s="29" t="s">
        <v>229</v>
      </c>
      <c r="AX21" s="29" t="s">
        <v>116</v>
      </c>
      <c r="AY21" s="30"/>
      <c r="AZ21" s="29" t="s">
        <v>117</v>
      </c>
      <c r="BA21" s="30"/>
      <c r="BB21" s="29" t="s">
        <v>116</v>
      </c>
      <c r="BC21" s="30"/>
      <c r="BD21" s="29" t="s">
        <v>117</v>
      </c>
      <c r="BE21" s="29" t="s">
        <v>230</v>
      </c>
      <c r="BF21" s="29" t="s">
        <v>117</v>
      </c>
      <c r="BG21" s="30" t="s">
        <v>119</v>
      </c>
    </row>
    <row r="22" customFormat="false" ht="39.55" hidden="false" customHeight="false" outlineLevel="0" collapsed="false">
      <c r="A22" s="20" t="n">
        <v>20</v>
      </c>
      <c r="B22" s="20" t="s">
        <v>11</v>
      </c>
      <c r="C22" s="20" t="s">
        <v>231</v>
      </c>
      <c r="D22" s="32" t="s">
        <v>232</v>
      </c>
      <c r="E22" s="36" t="s">
        <v>45</v>
      </c>
      <c r="F22" s="21" t="s">
        <v>4</v>
      </c>
      <c r="G22" s="21" t="s">
        <v>109</v>
      </c>
      <c r="H22" s="36" t="s">
        <v>233</v>
      </c>
      <c r="I22" s="22" t="s">
        <v>111</v>
      </c>
      <c r="J22" s="22" t="s">
        <v>14</v>
      </c>
      <c r="K22" s="23" t="s">
        <v>122</v>
      </c>
      <c r="L22" s="24" t="n">
        <f aca="false">M22*3600</f>
        <v>3634200000</v>
      </c>
      <c r="M22" s="25" t="n">
        <v>1009500</v>
      </c>
      <c r="N22" s="36"/>
      <c r="O22" s="37" t="s">
        <v>234</v>
      </c>
      <c r="P22" s="36" t="s">
        <v>235</v>
      </c>
      <c r="Q22" s="36" t="s">
        <v>236</v>
      </c>
      <c r="R22" s="26"/>
      <c r="S22" s="26"/>
      <c r="T22" s="26" t="n">
        <v>1</v>
      </c>
      <c r="U22" s="26"/>
      <c r="V22" s="26"/>
      <c r="W22" s="26"/>
      <c r="X22" s="26"/>
      <c r="Y22" s="26"/>
      <c r="Z22" s="26"/>
      <c r="AA22" s="26"/>
      <c r="AB22" s="26"/>
      <c r="AC22" s="26"/>
      <c r="AD22" s="26"/>
      <c r="AE22" s="26"/>
      <c r="AF22" s="26"/>
      <c r="AG22" s="26"/>
      <c r="AH22" s="26"/>
      <c r="AI22" s="26"/>
      <c r="AJ22" s="22" t="n">
        <f aca="false">IF(SUM(R22:T22)&gt;0,1,0)</f>
        <v>1</v>
      </c>
      <c r="AK22" s="22" t="n">
        <f aca="false">IF(SUM(U22:W22)&gt;0,1,0)</f>
        <v>0</v>
      </c>
      <c r="AL22" s="22" t="n">
        <f aca="false">IF(SUM(X22:Z22)&gt;0,1,0)</f>
        <v>0</v>
      </c>
      <c r="AM22" s="22" t="n">
        <f aca="false">IF(SUM(AA22:AC22)&gt;0,1,0)</f>
        <v>0</v>
      </c>
      <c r="AN22" s="22" t="n">
        <f aca="false">IF(SUM(AD22:AF22)&gt;0,1,0)</f>
        <v>0</v>
      </c>
      <c r="AO22" s="22" t="n">
        <f aca="false">IF(SUM(AG22:AI22)&gt;0,1,0)</f>
        <v>0</v>
      </c>
      <c r="AP22" s="28" t="n">
        <f aca="false">IF(AND(AJ22=1,SUM($AJ22:$AO22)=6),$M22/6,IF(AND(AJ22=1,SUM($AJ22:$AO22)=5),$M22/5,IF(AND(AJ22=1,SUM($AJ22:$AO22)=4),$M22/4,IF(AND(AJ22=1,SUM($AJ22:$AO22)=3),$M22/3,IF(AND(AJ22=1,SUM($AJ22:$AO22)=2),$M22/2,IF(AND(AJ22=1,SUM($AJ22:$AO22)=1),$M22,0))))))</f>
        <v>1009500</v>
      </c>
      <c r="AQ22" s="28" t="n">
        <f aca="false">IF(AND(AK22=1,SUM($AJ22:$AO22)=6),$M22/6,IF(AND(AK22=1,SUM($AJ22:$AO22)=5),$M22/5,IF(AND(AK22=1,SUM($AJ22:$AO22)=4),$M22/4,IF(AND(AK22=1,SUM($AJ22:$AO22)=3),$M22/3,IF(AND(AK22=1,SUM($AJ22:$AO22)=2),$M22/2,IF(AND(AK22=1,SUM($AJ22:$AO22)=1),$M22,0))))))</f>
        <v>0</v>
      </c>
      <c r="AR22" s="28" t="n">
        <f aca="false">IF(AND(AL22=1,SUM($AJ22:$AO22)=6),$M22/6,IF(AND(AL22=1,SUM($AJ22:$AO22)=5),$M22/5,IF(AND(AL22=1,SUM($AJ22:$AO22)=4),$M22/4,IF(AND(AL22=1,SUM($AJ22:$AO22)=3),$M22/3,IF(AND(AL22=1,SUM($AJ22:$AO22)=2),$M22/2,IF(AND(AL22=1,SUM($AJ22:$AO22)=1),$M22,0))))))</f>
        <v>0</v>
      </c>
      <c r="AS22" s="28" t="n">
        <f aca="false">IF(AND(AM22=1,SUM($AJ22:$AO22)=6),$M22/6,IF(AND(AM22=1,SUM($AJ22:$AO22)=5),$M22/5,IF(AND(AM22=1,SUM($AJ22:$AO22)=4),$M22/4,IF(AND(AM22=1,SUM($AJ22:$AO22)=3),$M22/3,IF(AND(AM22=1,SUM($AJ22:$AO22)=2),$M22/2,IF(AND(AM22=1,SUM($AJ22:$AO22)=1),$M22,0))))))</f>
        <v>0</v>
      </c>
      <c r="AT22" s="28" t="n">
        <f aca="false">IF(AND(AN22=1,SUM($AJ22:$AO22)=6),$M22/6,IF(AND(AN22=1,SUM($AJ22:$AO22)=5),$M22/5,IF(AND(AN22=1,SUM($AJ22:$AO22)=4),$M22/4,IF(AND(AN22=1,SUM($AJ22:$AO22)=3),$M22/3,IF(AND(AN22=1,SUM($AJ22:$AO22)=2),$M22/2,IF(AND(AN22=1,SUM($AJ22:$AO22)=1),$M22,0))))))</f>
        <v>0</v>
      </c>
      <c r="AU22" s="28" t="n">
        <f aca="false">IF(AND(AO22=1,SUM($AJ22:$AO22)=6),$M22/6,IF(AND(AO22=1,SUM($AJ22:$AO22)=5),$M22/5,IF(AND(AO22=1,SUM($AJ22:$AO22)=4),$M22/4,IF(AND(AO22=1,SUM($AJ22:$AO22)=3),$M22/3,IF(AND(AO22=1,SUM($AJ22:$AO22)=2),$M22/2,IF(AND(AO22=1,SUM($AJ22:$AO22)=1),$M22,0))))))</f>
        <v>0</v>
      </c>
      <c r="AV22" s="29" t="s">
        <v>116</v>
      </c>
      <c r="AW22" s="29" t="s">
        <v>237</v>
      </c>
      <c r="AX22" s="29" t="s">
        <v>114</v>
      </c>
      <c r="AY22" s="26"/>
      <c r="AZ22" s="26" t="s">
        <v>116</v>
      </c>
      <c r="BA22" s="26"/>
      <c r="BB22" s="29" t="s">
        <v>116</v>
      </c>
      <c r="BC22" s="26"/>
      <c r="BD22" s="29" t="s">
        <v>117</v>
      </c>
      <c r="BE22" s="29" t="s">
        <v>238</v>
      </c>
      <c r="BF22" s="29" t="s">
        <v>117</v>
      </c>
      <c r="BG22" s="30" t="s">
        <v>119</v>
      </c>
    </row>
    <row r="23" customFormat="false" ht="39.55" hidden="false" customHeight="false" outlineLevel="0" collapsed="false">
      <c r="A23" s="20" t="n">
        <v>21</v>
      </c>
      <c r="B23" s="32" t="s">
        <v>11</v>
      </c>
      <c r="C23" s="20" t="s">
        <v>107</v>
      </c>
      <c r="D23" s="32" t="s">
        <v>239</v>
      </c>
      <c r="E23" s="32" t="s">
        <v>45</v>
      </c>
      <c r="F23" s="21" t="s">
        <v>4</v>
      </c>
      <c r="G23" s="21" t="s">
        <v>109</v>
      </c>
      <c r="H23" s="21" t="s">
        <v>121</v>
      </c>
      <c r="I23" s="22" t="s">
        <v>111</v>
      </c>
      <c r="J23" s="22" t="s">
        <v>18</v>
      </c>
      <c r="K23" s="23" t="s">
        <v>130</v>
      </c>
      <c r="L23" s="24" t="n">
        <f aca="false">M23*3600</f>
        <v>3636000000</v>
      </c>
      <c r="M23" s="25" t="n">
        <v>1010000</v>
      </c>
      <c r="N23" s="21"/>
      <c r="O23" s="21" t="s">
        <v>240</v>
      </c>
      <c r="P23" s="21" t="s">
        <v>219</v>
      </c>
      <c r="Q23" s="21"/>
      <c r="R23" s="27" t="n">
        <v>1</v>
      </c>
      <c r="S23" s="27" t="n">
        <v>1</v>
      </c>
      <c r="T23" s="27" t="n">
        <v>1</v>
      </c>
      <c r="U23" s="27" t="n">
        <v>1</v>
      </c>
      <c r="V23" s="27" t="n">
        <v>1</v>
      </c>
      <c r="W23" s="27" t="n">
        <v>1</v>
      </c>
      <c r="X23" s="27" t="n">
        <v>1</v>
      </c>
      <c r="Y23" s="27" t="n">
        <v>1</v>
      </c>
      <c r="Z23" s="27" t="n">
        <v>1</v>
      </c>
      <c r="AA23" s="27" t="n">
        <v>1</v>
      </c>
      <c r="AB23" s="27" t="n">
        <v>1</v>
      </c>
      <c r="AC23" s="27" t="n">
        <v>1</v>
      </c>
      <c r="AD23" s="27" t="n">
        <v>1</v>
      </c>
      <c r="AE23" s="27" t="n">
        <v>1</v>
      </c>
      <c r="AF23" s="27" t="n">
        <v>1</v>
      </c>
      <c r="AG23" s="27" t="n">
        <v>1</v>
      </c>
      <c r="AH23" s="27" t="n">
        <v>1</v>
      </c>
      <c r="AI23" s="27" t="n">
        <v>1</v>
      </c>
      <c r="AJ23" s="22" t="n">
        <f aca="false">IF(SUM(R23:T23)&gt;0,1,0)</f>
        <v>1</v>
      </c>
      <c r="AK23" s="22" t="n">
        <f aca="false">IF(SUM(U23:W23)&gt;0,1,0)</f>
        <v>1</v>
      </c>
      <c r="AL23" s="22" t="n">
        <f aca="false">IF(SUM(X23:Z23)&gt;0,1,0)</f>
        <v>1</v>
      </c>
      <c r="AM23" s="22" t="n">
        <f aca="false">IF(SUM(AA23:AC23)&gt;0,1,0)</f>
        <v>1</v>
      </c>
      <c r="AN23" s="22" t="n">
        <f aca="false">IF(SUM(AD23:AF23)&gt;0,1,0)</f>
        <v>1</v>
      </c>
      <c r="AO23" s="22" t="n">
        <f aca="false">IF(SUM(AG23:AI23)&gt;0,1,0)</f>
        <v>1</v>
      </c>
      <c r="AP23" s="28" t="n">
        <f aca="false">IF(AND(AJ23=1,SUM($AJ23:$AO23)=6),$M23/6,IF(AND(AJ23=1,SUM($AJ23:$AO23)=5),$M23/5,IF(AND(AJ23=1,SUM($AJ23:$AO23)=4),$M23/4,IF(AND(AJ23=1,SUM($AJ23:$AO23)=3),$M23/3,IF(AND(AJ23=1,SUM($AJ23:$AO23)=2),$M23/2,IF(AND(AJ23=1,SUM($AJ23:$AO23)=1),$M23,0))))))</f>
        <v>168333.333333333</v>
      </c>
      <c r="AQ23" s="28" t="n">
        <f aca="false">IF(AND(AK23=1,SUM($AJ23:$AO23)=6),$M23/6,IF(AND(AK23=1,SUM($AJ23:$AO23)=5),$M23/5,IF(AND(AK23=1,SUM($AJ23:$AO23)=4),$M23/4,IF(AND(AK23=1,SUM($AJ23:$AO23)=3),$M23/3,IF(AND(AK23=1,SUM($AJ23:$AO23)=2),$M23/2,IF(AND(AK23=1,SUM($AJ23:$AO23)=1),$M23,0))))))</f>
        <v>168333.333333333</v>
      </c>
      <c r="AR23" s="28" t="n">
        <f aca="false">IF(AND(AL23=1,SUM($AJ23:$AO23)=6),$M23/6,IF(AND(AL23=1,SUM($AJ23:$AO23)=5),$M23/5,IF(AND(AL23=1,SUM($AJ23:$AO23)=4),$M23/4,IF(AND(AL23=1,SUM($AJ23:$AO23)=3),$M23/3,IF(AND(AL23=1,SUM($AJ23:$AO23)=2),$M23/2,IF(AND(AL23=1,SUM($AJ23:$AO23)=1),$M23,0))))))</f>
        <v>168333.333333333</v>
      </c>
      <c r="AS23" s="28" t="n">
        <f aca="false">IF(AND(AM23=1,SUM($AJ23:$AO23)=6),$M23/6,IF(AND(AM23=1,SUM($AJ23:$AO23)=5),$M23/5,IF(AND(AM23=1,SUM($AJ23:$AO23)=4),$M23/4,IF(AND(AM23=1,SUM($AJ23:$AO23)=3),$M23/3,IF(AND(AM23=1,SUM($AJ23:$AO23)=2),$M23/2,IF(AND(AM23=1,SUM($AJ23:$AO23)=1),$M23,0))))))</f>
        <v>168333.333333333</v>
      </c>
      <c r="AT23" s="28" t="n">
        <f aca="false">IF(AND(AN23=1,SUM($AJ23:$AO23)=6),$M23/6,IF(AND(AN23=1,SUM($AJ23:$AO23)=5),$M23/5,IF(AND(AN23=1,SUM($AJ23:$AO23)=4),$M23/4,IF(AND(AN23=1,SUM($AJ23:$AO23)=3),$M23/3,IF(AND(AN23=1,SUM($AJ23:$AO23)=2),$M23/2,IF(AND(AN23=1,SUM($AJ23:$AO23)=1),$M23,0))))))</f>
        <v>168333.333333333</v>
      </c>
      <c r="AU23" s="28" t="n">
        <f aca="false">IF(AND(AO23=1,SUM($AJ23:$AO23)=6),$M23/6,IF(AND(AO23=1,SUM($AJ23:$AO23)=5),$M23/5,IF(AND(AO23=1,SUM($AJ23:$AO23)=4),$M23/4,IF(AND(AO23=1,SUM($AJ23:$AO23)=3),$M23/3,IF(AND(AO23=1,SUM($AJ23:$AO23)=2),$M23/2,IF(AND(AO23=1,SUM($AJ23:$AO23)=1),$M23,0))))))</f>
        <v>168333.333333333</v>
      </c>
      <c r="AV23" s="29" t="s">
        <v>116</v>
      </c>
      <c r="AW23" s="29" t="s">
        <v>241</v>
      </c>
      <c r="AX23" s="29" t="s">
        <v>114</v>
      </c>
      <c r="AY23" s="30"/>
      <c r="AZ23" s="29" t="s">
        <v>117</v>
      </c>
      <c r="BA23" s="30"/>
      <c r="BB23" s="29" t="s">
        <v>114</v>
      </c>
      <c r="BC23" s="30"/>
      <c r="BD23" s="29" t="s">
        <v>117</v>
      </c>
      <c r="BE23" s="29" t="s">
        <v>242</v>
      </c>
      <c r="BF23" s="29" t="s">
        <v>117</v>
      </c>
      <c r="BG23" s="30" t="s">
        <v>119</v>
      </c>
    </row>
    <row r="24" customFormat="false" ht="52.2" hidden="false" customHeight="false" outlineLevel="0" collapsed="false">
      <c r="A24" s="20" t="n">
        <v>22</v>
      </c>
      <c r="B24" s="32" t="s">
        <v>11</v>
      </c>
      <c r="C24" s="20" t="s">
        <v>231</v>
      </c>
      <c r="D24" s="32" t="s">
        <v>243</v>
      </c>
      <c r="E24" s="32" t="s">
        <v>46</v>
      </c>
      <c r="F24" s="21" t="s">
        <v>4</v>
      </c>
      <c r="G24" s="21" t="s">
        <v>109</v>
      </c>
      <c r="H24" s="21" t="s">
        <v>121</v>
      </c>
      <c r="I24" s="22" t="s">
        <v>111</v>
      </c>
      <c r="J24" s="22" t="s">
        <v>18</v>
      </c>
      <c r="K24" s="23" t="s">
        <v>16</v>
      </c>
      <c r="L24" s="24" t="n">
        <f aca="false">M24*3600</f>
        <v>3637800000</v>
      </c>
      <c r="M24" s="25" t="n">
        <v>1010500</v>
      </c>
      <c r="N24" s="21"/>
      <c r="O24" s="21" t="s">
        <v>244</v>
      </c>
      <c r="P24" s="38" t="s">
        <v>245</v>
      </c>
      <c r="Q24" s="21"/>
      <c r="R24" s="26"/>
      <c r="S24" s="26"/>
      <c r="T24" s="27" t="n">
        <v>1</v>
      </c>
      <c r="U24" s="26"/>
      <c r="V24" s="26"/>
      <c r="W24" s="27" t="n">
        <v>1</v>
      </c>
      <c r="X24" s="26"/>
      <c r="Y24" s="26"/>
      <c r="Z24" s="27" t="n">
        <v>1</v>
      </c>
      <c r="AA24" s="26"/>
      <c r="AB24" s="26"/>
      <c r="AC24" s="27" t="n">
        <v>1</v>
      </c>
      <c r="AD24" s="26"/>
      <c r="AE24" s="26"/>
      <c r="AF24" s="27" t="n">
        <v>1</v>
      </c>
      <c r="AG24" s="26"/>
      <c r="AH24" s="26"/>
      <c r="AI24" s="27" t="n">
        <v>1</v>
      </c>
      <c r="AJ24" s="22" t="n">
        <f aca="false">IF(SUM(R24:T24)&gt;0,1,0)</f>
        <v>1</v>
      </c>
      <c r="AK24" s="22" t="n">
        <f aca="false">IF(SUM(U24:W24)&gt;0,1,0)</f>
        <v>1</v>
      </c>
      <c r="AL24" s="22" t="n">
        <f aca="false">IF(SUM(X24:Z24)&gt;0,1,0)</f>
        <v>1</v>
      </c>
      <c r="AM24" s="22" t="n">
        <f aca="false">IF(SUM(AA24:AC24)&gt;0,1,0)</f>
        <v>1</v>
      </c>
      <c r="AN24" s="22" t="n">
        <f aca="false">IF(SUM(AD24:AF24)&gt;0,1,0)</f>
        <v>1</v>
      </c>
      <c r="AO24" s="22" t="n">
        <f aca="false">IF(SUM(AG24:AI24)&gt;0,1,0)</f>
        <v>1</v>
      </c>
      <c r="AP24" s="28" t="n">
        <f aca="false">IF(AND(AJ24=1,SUM($AJ24:$AO24)=6),$M24/6,IF(AND(AJ24=1,SUM($AJ24:$AO24)=5),$M24/5,IF(AND(AJ24=1,SUM($AJ24:$AO24)=4),$M24/4,IF(AND(AJ24=1,SUM($AJ24:$AO24)=3),$M24/3,IF(AND(AJ24=1,SUM($AJ24:$AO24)=2),$M24/2,IF(AND(AJ24=1,SUM($AJ24:$AO24)=1),$M24,0))))))</f>
        <v>168416.666666667</v>
      </c>
      <c r="AQ24" s="28" t="n">
        <f aca="false">IF(AND(AK24=1,SUM($AJ24:$AO24)=6),$M24/6,IF(AND(AK24=1,SUM($AJ24:$AO24)=5),$M24/5,IF(AND(AK24=1,SUM($AJ24:$AO24)=4),$M24/4,IF(AND(AK24=1,SUM($AJ24:$AO24)=3),$M24/3,IF(AND(AK24=1,SUM($AJ24:$AO24)=2),$M24/2,IF(AND(AK24=1,SUM($AJ24:$AO24)=1),$M24,0))))))</f>
        <v>168416.666666667</v>
      </c>
      <c r="AR24" s="28" t="n">
        <f aca="false">IF(AND(AL24=1,SUM($AJ24:$AO24)=6),$M24/6,IF(AND(AL24=1,SUM($AJ24:$AO24)=5),$M24/5,IF(AND(AL24=1,SUM($AJ24:$AO24)=4),$M24/4,IF(AND(AL24=1,SUM($AJ24:$AO24)=3),$M24/3,IF(AND(AL24=1,SUM($AJ24:$AO24)=2),$M24/2,IF(AND(AL24=1,SUM($AJ24:$AO24)=1),$M24,0))))))</f>
        <v>168416.666666667</v>
      </c>
      <c r="AS24" s="28" t="n">
        <f aca="false">IF(AND(AM24=1,SUM($AJ24:$AO24)=6),$M24/6,IF(AND(AM24=1,SUM($AJ24:$AO24)=5),$M24/5,IF(AND(AM24=1,SUM($AJ24:$AO24)=4),$M24/4,IF(AND(AM24=1,SUM($AJ24:$AO24)=3),$M24/3,IF(AND(AM24=1,SUM($AJ24:$AO24)=2),$M24/2,IF(AND(AM24=1,SUM($AJ24:$AO24)=1),$M24,0))))))</f>
        <v>168416.666666667</v>
      </c>
      <c r="AT24" s="28" t="n">
        <f aca="false">IF(AND(AN24=1,SUM($AJ24:$AO24)=6),$M24/6,IF(AND(AN24=1,SUM($AJ24:$AO24)=5),$M24/5,IF(AND(AN24=1,SUM($AJ24:$AO24)=4),$M24/4,IF(AND(AN24=1,SUM($AJ24:$AO24)=3),$M24/3,IF(AND(AN24=1,SUM($AJ24:$AO24)=2),$M24/2,IF(AND(AN24=1,SUM($AJ24:$AO24)=1),$M24,0))))))</f>
        <v>168416.666666667</v>
      </c>
      <c r="AU24" s="28" t="n">
        <f aca="false">IF(AND(AO24=1,SUM($AJ24:$AO24)=6),$M24/6,IF(AND(AO24=1,SUM($AJ24:$AO24)=5),$M24/5,IF(AND(AO24=1,SUM($AJ24:$AO24)=4),$M24/4,IF(AND(AO24=1,SUM($AJ24:$AO24)=3),$M24/3,IF(AND(AO24=1,SUM($AJ24:$AO24)=2),$M24/2,IF(AND(AO24=1,SUM($AJ24:$AO24)=1),$M24,0))))))</f>
        <v>168416.666666667</v>
      </c>
      <c r="AV24" s="29" t="s">
        <v>116</v>
      </c>
      <c r="AW24" s="29" t="s">
        <v>246</v>
      </c>
      <c r="AX24" s="29" t="s">
        <v>114</v>
      </c>
      <c r="AY24" s="30"/>
      <c r="AZ24" s="29" t="s">
        <v>117</v>
      </c>
      <c r="BA24" s="30"/>
      <c r="BB24" s="29" t="s">
        <v>114</v>
      </c>
      <c r="BC24" s="30"/>
      <c r="BD24" s="29" t="s">
        <v>117</v>
      </c>
      <c r="BE24" s="29" t="s">
        <v>247</v>
      </c>
      <c r="BF24" s="29" t="s">
        <v>117</v>
      </c>
      <c r="BG24" s="30" t="s">
        <v>119</v>
      </c>
    </row>
    <row r="25" customFormat="false" ht="39.55" hidden="false" customHeight="false" outlineLevel="0" collapsed="false">
      <c r="A25" s="20" t="n">
        <v>23</v>
      </c>
      <c r="B25" s="32" t="s">
        <v>11</v>
      </c>
      <c r="C25" s="20" t="s">
        <v>231</v>
      </c>
      <c r="D25" s="32" t="s">
        <v>248</v>
      </c>
      <c r="E25" s="32" t="s">
        <v>46</v>
      </c>
      <c r="F25" s="21" t="s">
        <v>4</v>
      </c>
      <c r="G25" s="21" t="s">
        <v>109</v>
      </c>
      <c r="H25" s="21" t="s">
        <v>121</v>
      </c>
      <c r="I25" s="22" t="s">
        <v>150</v>
      </c>
      <c r="J25" s="22" t="s">
        <v>16</v>
      </c>
      <c r="K25" s="23" t="s">
        <v>122</v>
      </c>
      <c r="L25" s="24" t="n">
        <f aca="false">M25*3600</f>
        <v>3639600000</v>
      </c>
      <c r="M25" s="25" t="n">
        <v>1011000</v>
      </c>
      <c r="N25" s="21"/>
      <c r="O25" s="21" t="s">
        <v>249</v>
      </c>
      <c r="P25" s="21" t="s">
        <v>250</v>
      </c>
      <c r="Q25" s="21" t="s">
        <v>24</v>
      </c>
      <c r="R25" s="26"/>
      <c r="S25" s="27" t="n">
        <v>1</v>
      </c>
      <c r="T25" s="26"/>
      <c r="U25" s="26"/>
      <c r="V25" s="26"/>
      <c r="W25" s="26"/>
      <c r="X25" s="26"/>
      <c r="Y25" s="26"/>
      <c r="Z25" s="26"/>
      <c r="AA25" s="26"/>
      <c r="AB25" s="27" t="n">
        <v>1</v>
      </c>
      <c r="AC25" s="26"/>
      <c r="AD25" s="26"/>
      <c r="AE25" s="26"/>
      <c r="AF25" s="26"/>
      <c r="AG25" s="26"/>
      <c r="AH25" s="26"/>
      <c r="AI25" s="26"/>
      <c r="AJ25" s="22" t="n">
        <f aca="false">IF(SUM(R25:T25)&gt;0,1,0)</f>
        <v>1</v>
      </c>
      <c r="AK25" s="22" t="n">
        <f aca="false">IF(SUM(U25:W25)&gt;0,1,0)</f>
        <v>0</v>
      </c>
      <c r="AL25" s="22" t="n">
        <f aca="false">IF(SUM(X25:Z25)&gt;0,1,0)</f>
        <v>0</v>
      </c>
      <c r="AM25" s="22" t="n">
        <f aca="false">IF(SUM(AA25:AC25)&gt;0,1,0)</f>
        <v>1</v>
      </c>
      <c r="AN25" s="22" t="n">
        <f aca="false">IF(SUM(AD25:AF25)&gt;0,1,0)</f>
        <v>0</v>
      </c>
      <c r="AO25" s="22" t="n">
        <f aca="false">IF(SUM(AG25:AI25)&gt;0,1,0)</f>
        <v>0</v>
      </c>
      <c r="AP25" s="28" t="n">
        <f aca="false">IF(AND(AJ25=1,SUM($AJ25:$AO25)=6),$M25/6,IF(AND(AJ25=1,SUM($AJ25:$AO25)=5),$M25/5,IF(AND(AJ25=1,SUM($AJ25:$AO25)=4),$M25/4,IF(AND(AJ25=1,SUM($AJ25:$AO25)=3),$M25/3,IF(AND(AJ25=1,SUM($AJ25:$AO25)=2),$M25/2,IF(AND(AJ25=1,SUM($AJ25:$AO25)=1),$M25,0))))))</f>
        <v>505500</v>
      </c>
      <c r="AQ25" s="28" t="n">
        <f aca="false">IF(AND(AK25=1,SUM($AJ25:$AO25)=6),$M25/6,IF(AND(AK25=1,SUM($AJ25:$AO25)=5),$M25/5,IF(AND(AK25=1,SUM($AJ25:$AO25)=4),$M25/4,IF(AND(AK25=1,SUM($AJ25:$AO25)=3),$M25/3,IF(AND(AK25=1,SUM($AJ25:$AO25)=2),$M25/2,IF(AND(AK25=1,SUM($AJ25:$AO25)=1),$M25,0))))))</f>
        <v>0</v>
      </c>
      <c r="AR25" s="28" t="n">
        <f aca="false">IF(AND(AL25=1,SUM($AJ25:$AO25)=6),$M25/6,IF(AND(AL25=1,SUM($AJ25:$AO25)=5),$M25/5,IF(AND(AL25=1,SUM($AJ25:$AO25)=4),$M25/4,IF(AND(AL25=1,SUM($AJ25:$AO25)=3),$M25/3,IF(AND(AL25=1,SUM($AJ25:$AO25)=2),$M25/2,IF(AND(AL25=1,SUM($AJ25:$AO25)=1),$M25,0))))))</f>
        <v>0</v>
      </c>
      <c r="AS25" s="28" t="n">
        <f aca="false">IF(AND(AM25=1,SUM($AJ25:$AO25)=6),$M25/6,IF(AND(AM25=1,SUM($AJ25:$AO25)=5),$M25/5,IF(AND(AM25=1,SUM($AJ25:$AO25)=4),$M25/4,IF(AND(AM25=1,SUM($AJ25:$AO25)=3),$M25/3,IF(AND(AM25=1,SUM($AJ25:$AO25)=2),$M25/2,IF(AND(AM25=1,SUM($AJ25:$AO25)=1),$M25,0))))))</f>
        <v>505500</v>
      </c>
      <c r="AT25" s="28" t="n">
        <f aca="false">IF(AND(AN25=1,SUM($AJ25:$AO25)=6),$M25/6,IF(AND(AN25=1,SUM($AJ25:$AO25)=5),$M25/5,IF(AND(AN25=1,SUM($AJ25:$AO25)=4),$M25/4,IF(AND(AN25=1,SUM($AJ25:$AO25)=3),$M25/3,IF(AND(AN25=1,SUM($AJ25:$AO25)=2),$M25/2,IF(AND(AN25=1,SUM($AJ25:$AO25)=1),$M25,0))))))</f>
        <v>0</v>
      </c>
      <c r="AU25" s="28" t="n">
        <f aca="false">IF(AND(AO25=1,SUM($AJ25:$AO25)=6),$M25/6,IF(AND(AO25=1,SUM($AJ25:$AO25)=5),$M25/5,IF(AND(AO25=1,SUM($AJ25:$AO25)=4),$M25/4,IF(AND(AO25=1,SUM($AJ25:$AO25)=3),$M25/3,IF(AND(AO25=1,SUM($AJ25:$AO25)=2),$M25/2,IF(AND(AO25=1,SUM($AJ25:$AO25)=1),$M25,0))))))</f>
        <v>0</v>
      </c>
      <c r="AV25" s="29" t="s">
        <v>116</v>
      </c>
      <c r="AW25" s="29" t="s">
        <v>251</v>
      </c>
      <c r="AX25" s="29" t="s">
        <v>114</v>
      </c>
      <c r="AY25" s="30"/>
      <c r="AZ25" s="29" t="s">
        <v>117</v>
      </c>
      <c r="BA25" s="30"/>
      <c r="BB25" s="29" t="s">
        <v>114</v>
      </c>
      <c r="BC25" s="30"/>
      <c r="BD25" s="29" t="s">
        <v>117</v>
      </c>
      <c r="BE25" s="29" t="s">
        <v>252</v>
      </c>
      <c r="BF25" s="29" t="s">
        <v>116</v>
      </c>
      <c r="BG25" s="30" t="s">
        <v>119</v>
      </c>
    </row>
    <row r="26" customFormat="false" ht="39.55" hidden="false" customHeight="false" outlineLevel="0" collapsed="false">
      <c r="A26" s="20" t="n">
        <v>24</v>
      </c>
      <c r="B26" s="32" t="s">
        <v>11</v>
      </c>
      <c r="C26" s="20" t="s">
        <v>231</v>
      </c>
      <c r="D26" s="32" t="s">
        <v>253</v>
      </c>
      <c r="E26" s="32" t="s">
        <v>45</v>
      </c>
      <c r="F26" s="21" t="s">
        <v>4</v>
      </c>
      <c r="G26" s="21" t="s">
        <v>109</v>
      </c>
      <c r="H26" s="21" t="s">
        <v>254</v>
      </c>
      <c r="I26" s="22" t="s">
        <v>111</v>
      </c>
      <c r="J26" s="22" t="s">
        <v>18</v>
      </c>
      <c r="K26" s="23" t="s">
        <v>130</v>
      </c>
      <c r="L26" s="24" t="n">
        <f aca="false">M26*3600</f>
        <v>3641400000</v>
      </c>
      <c r="M26" s="25" t="n">
        <v>1011500</v>
      </c>
      <c r="N26" s="21"/>
      <c r="O26" s="31" t="s">
        <v>255</v>
      </c>
      <c r="P26" s="21" t="s">
        <v>211</v>
      </c>
      <c r="Q26" s="21" t="s">
        <v>256</v>
      </c>
      <c r="R26" s="26"/>
      <c r="S26" s="26"/>
      <c r="T26" s="26"/>
      <c r="U26" s="27" t="n">
        <v>1</v>
      </c>
      <c r="V26" s="26"/>
      <c r="W26" s="26"/>
      <c r="X26" s="26"/>
      <c r="Y26" s="26"/>
      <c r="Z26" s="26"/>
      <c r="AA26" s="26"/>
      <c r="AB26" s="26"/>
      <c r="AC26" s="26"/>
      <c r="AD26" s="26"/>
      <c r="AE26" s="26"/>
      <c r="AF26" s="26"/>
      <c r="AG26" s="26"/>
      <c r="AH26" s="26"/>
      <c r="AI26" s="26"/>
      <c r="AJ26" s="22" t="n">
        <f aca="false">IF(SUM(R26:T26)&gt;0,1,0)</f>
        <v>0</v>
      </c>
      <c r="AK26" s="22" t="n">
        <f aca="false">IF(SUM(U26:W26)&gt;0,1,0)</f>
        <v>1</v>
      </c>
      <c r="AL26" s="22" t="n">
        <f aca="false">IF(SUM(X26:Z26)&gt;0,1,0)</f>
        <v>0</v>
      </c>
      <c r="AM26" s="22" t="n">
        <f aca="false">IF(SUM(AA26:AC26)&gt;0,1,0)</f>
        <v>0</v>
      </c>
      <c r="AN26" s="22" t="n">
        <f aca="false">IF(SUM(AD26:AF26)&gt;0,1,0)</f>
        <v>0</v>
      </c>
      <c r="AO26" s="22" t="n">
        <f aca="false">IF(SUM(AG26:AI26)&gt;0,1,0)</f>
        <v>0</v>
      </c>
      <c r="AP26" s="28" t="n">
        <f aca="false">IF(AND(AJ26=1,SUM($AJ26:$AO26)=6),$M26/6,IF(AND(AJ26=1,SUM($AJ26:$AO26)=5),$M26/5,IF(AND(AJ26=1,SUM($AJ26:$AO26)=4),$M26/4,IF(AND(AJ26=1,SUM($AJ26:$AO26)=3),$M26/3,IF(AND(AJ26=1,SUM($AJ26:$AO26)=2),$M26/2,IF(AND(AJ26=1,SUM($AJ26:$AO26)=1),$M26,0))))))</f>
        <v>0</v>
      </c>
      <c r="AQ26" s="28" t="n">
        <f aca="false">IF(AND(AK26=1,SUM($AJ26:$AO26)=6),$M26/6,IF(AND(AK26=1,SUM($AJ26:$AO26)=5),$M26/5,IF(AND(AK26=1,SUM($AJ26:$AO26)=4),$M26/4,IF(AND(AK26=1,SUM($AJ26:$AO26)=3),$M26/3,IF(AND(AK26=1,SUM($AJ26:$AO26)=2),$M26/2,IF(AND(AK26=1,SUM($AJ26:$AO26)=1),$M26,0))))))</f>
        <v>1011500</v>
      </c>
      <c r="AR26" s="28" t="n">
        <f aca="false">IF(AND(AL26=1,SUM($AJ26:$AO26)=6),$M26/6,IF(AND(AL26=1,SUM($AJ26:$AO26)=5),$M26/5,IF(AND(AL26=1,SUM($AJ26:$AO26)=4),$M26/4,IF(AND(AL26=1,SUM($AJ26:$AO26)=3),$M26/3,IF(AND(AL26=1,SUM($AJ26:$AO26)=2),$M26/2,IF(AND(AL26=1,SUM($AJ26:$AO26)=1),$M26,0))))))</f>
        <v>0</v>
      </c>
      <c r="AS26" s="28" t="n">
        <f aca="false">IF(AND(AM26=1,SUM($AJ26:$AO26)=6),$M26/6,IF(AND(AM26=1,SUM($AJ26:$AO26)=5),$M26/5,IF(AND(AM26=1,SUM($AJ26:$AO26)=4),$M26/4,IF(AND(AM26=1,SUM($AJ26:$AO26)=3),$M26/3,IF(AND(AM26=1,SUM($AJ26:$AO26)=2),$M26/2,IF(AND(AM26=1,SUM($AJ26:$AO26)=1),$M26,0))))))</f>
        <v>0</v>
      </c>
      <c r="AT26" s="28" t="n">
        <f aca="false">IF(AND(AN26=1,SUM($AJ26:$AO26)=6),$M26/6,IF(AND(AN26=1,SUM($AJ26:$AO26)=5),$M26/5,IF(AND(AN26=1,SUM($AJ26:$AO26)=4),$M26/4,IF(AND(AN26=1,SUM($AJ26:$AO26)=3),$M26/3,IF(AND(AN26=1,SUM($AJ26:$AO26)=2),$M26/2,IF(AND(AN26=1,SUM($AJ26:$AO26)=1),$M26,0))))))</f>
        <v>0</v>
      </c>
      <c r="AU26" s="28" t="n">
        <f aca="false">IF(AND(AO26=1,SUM($AJ26:$AO26)=6),$M26/6,IF(AND(AO26=1,SUM($AJ26:$AO26)=5),$M26/5,IF(AND(AO26=1,SUM($AJ26:$AO26)=4),$M26/4,IF(AND(AO26=1,SUM($AJ26:$AO26)=3),$M26/3,IF(AND(AO26=1,SUM($AJ26:$AO26)=2),$M26/2,IF(AND(AO26=1,SUM($AJ26:$AO26)=1),$M26,0))))))</f>
        <v>0</v>
      </c>
      <c r="AV26" s="29" t="s">
        <v>114</v>
      </c>
      <c r="AW26" s="29" t="s">
        <v>257</v>
      </c>
      <c r="AX26" s="29" t="s">
        <v>114</v>
      </c>
      <c r="AY26" s="30"/>
      <c r="AZ26" s="29" t="s">
        <v>117</v>
      </c>
      <c r="BA26" s="30"/>
      <c r="BB26" s="29" t="s">
        <v>114</v>
      </c>
      <c r="BC26" s="30"/>
      <c r="BD26" s="26" t="s">
        <v>116</v>
      </c>
      <c r="BE26" s="29" t="s">
        <v>258</v>
      </c>
      <c r="BF26" s="29" t="s">
        <v>116</v>
      </c>
      <c r="BG26" s="30" t="s">
        <v>119</v>
      </c>
    </row>
    <row r="27" customFormat="false" ht="39.55" hidden="false" customHeight="false" outlineLevel="0" collapsed="false">
      <c r="A27" s="20" t="n">
        <v>25</v>
      </c>
      <c r="B27" s="32" t="s">
        <v>11</v>
      </c>
      <c r="C27" s="20" t="s">
        <v>231</v>
      </c>
      <c r="D27" s="32" t="s">
        <v>259</v>
      </c>
      <c r="E27" s="32" t="s">
        <v>45</v>
      </c>
      <c r="F27" s="21" t="s">
        <v>4</v>
      </c>
      <c r="G27" s="21" t="s">
        <v>109</v>
      </c>
      <c r="H27" s="21" t="s">
        <v>254</v>
      </c>
      <c r="I27" s="22" t="s">
        <v>111</v>
      </c>
      <c r="J27" s="22" t="s">
        <v>16</v>
      </c>
      <c r="K27" s="23" t="s">
        <v>16</v>
      </c>
      <c r="L27" s="24" t="n">
        <f aca="false">M27*3600</f>
        <v>3643200000</v>
      </c>
      <c r="M27" s="25" t="n">
        <v>1012000</v>
      </c>
      <c r="N27" s="21"/>
      <c r="O27" s="31" t="s">
        <v>260</v>
      </c>
      <c r="P27" s="31" t="s">
        <v>211</v>
      </c>
      <c r="Q27" s="21"/>
      <c r="R27" s="26"/>
      <c r="S27" s="26"/>
      <c r="T27" s="26"/>
      <c r="U27" s="26"/>
      <c r="V27" s="26"/>
      <c r="W27" s="26"/>
      <c r="X27" s="26"/>
      <c r="Y27" s="26"/>
      <c r="Z27" s="26"/>
      <c r="AA27" s="26"/>
      <c r="AB27" s="27" t="n">
        <v>1</v>
      </c>
      <c r="AC27" s="26"/>
      <c r="AD27" s="26"/>
      <c r="AE27" s="26"/>
      <c r="AF27" s="26"/>
      <c r="AG27" s="26"/>
      <c r="AH27" s="26"/>
      <c r="AI27" s="26"/>
      <c r="AJ27" s="22" t="n">
        <f aca="false">IF(SUM(R27:T27)&gt;0,1,0)</f>
        <v>0</v>
      </c>
      <c r="AK27" s="22" t="n">
        <f aca="false">IF(SUM(U27:W27)&gt;0,1,0)</f>
        <v>0</v>
      </c>
      <c r="AL27" s="22" t="n">
        <f aca="false">IF(SUM(X27:Z27)&gt;0,1,0)</f>
        <v>0</v>
      </c>
      <c r="AM27" s="22" t="n">
        <f aca="false">IF(SUM(AA27:AC27)&gt;0,1,0)</f>
        <v>1</v>
      </c>
      <c r="AN27" s="22" t="n">
        <f aca="false">IF(SUM(AD27:AF27)&gt;0,1,0)</f>
        <v>0</v>
      </c>
      <c r="AO27" s="22" t="n">
        <f aca="false">IF(SUM(AG27:AI27)&gt;0,1,0)</f>
        <v>0</v>
      </c>
      <c r="AP27" s="28" t="n">
        <f aca="false">IF(AND(AJ27=1,SUM($AJ27:$AO27)=6),$M27/6,IF(AND(AJ27=1,SUM($AJ27:$AO27)=5),$M27/5,IF(AND(AJ27=1,SUM($AJ27:$AO27)=4),$M27/4,IF(AND(AJ27=1,SUM($AJ27:$AO27)=3),$M27/3,IF(AND(AJ27=1,SUM($AJ27:$AO27)=2),$M27/2,IF(AND(AJ27=1,SUM($AJ27:$AO27)=1),$M27,0))))))</f>
        <v>0</v>
      </c>
      <c r="AQ27" s="28" t="n">
        <f aca="false">IF(AND(AK27=1,SUM($AJ27:$AO27)=6),$M27/6,IF(AND(AK27=1,SUM($AJ27:$AO27)=5),$M27/5,IF(AND(AK27=1,SUM($AJ27:$AO27)=4),$M27/4,IF(AND(AK27=1,SUM($AJ27:$AO27)=3),$M27/3,IF(AND(AK27=1,SUM($AJ27:$AO27)=2),$M27/2,IF(AND(AK27=1,SUM($AJ27:$AO27)=1),$M27,0))))))</f>
        <v>0</v>
      </c>
      <c r="AR27" s="28" t="n">
        <f aca="false">IF(AND(AL27=1,SUM($AJ27:$AO27)=6),$M27/6,IF(AND(AL27=1,SUM($AJ27:$AO27)=5),$M27/5,IF(AND(AL27=1,SUM($AJ27:$AO27)=4),$M27/4,IF(AND(AL27=1,SUM($AJ27:$AO27)=3),$M27/3,IF(AND(AL27=1,SUM($AJ27:$AO27)=2),$M27/2,IF(AND(AL27=1,SUM($AJ27:$AO27)=1),$M27,0))))))</f>
        <v>0</v>
      </c>
      <c r="AS27" s="28" t="n">
        <f aca="false">IF(AND(AM27=1,SUM($AJ27:$AO27)=6),$M27/6,IF(AND(AM27=1,SUM($AJ27:$AO27)=5),$M27/5,IF(AND(AM27=1,SUM($AJ27:$AO27)=4),$M27/4,IF(AND(AM27=1,SUM($AJ27:$AO27)=3),$M27/3,IF(AND(AM27=1,SUM($AJ27:$AO27)=2),$M27/2,IF(AND(AM27=1,SUM($AJ27:$AO27)=1),$M27,0))))))</f>
        <v>1012000</v>
      </c>
      <c r="AT27" s="28" t="n">
        <f aca="false">IF(AND(AN27=1,SUM($AJ27:$AO27)=6),$M27/6,IF(AND(AN27=1,SUM($AJ27:$AO27)=5),$M27/5,IF(AND(AN27=1,SUM($AJ27:$AO27)=4),$M27/4,IF(AND(AN27=1,SUM($AJ27:$AO27)=3),$M27/3,IF(AND(AN27=1,SUM($AJ27:$AO27)=2),$M27/2,IF(AND(AN27=1,SUM($AJ27:$AO27)=1),$M27,0))))))</f>
        <v>0</v>
      </c>
      <c r="AU27" s="28" t="n">
        <f aca="false">IF(AND(AO27=1,SUM($AJ27:$AO27)=6),$M27/6,IF(AND(AO27=1,SUM($AJ27:$AO27)=5),$M27/5,IF(AND(AO27=1,SUM($AJ27:$AO27)=4),$M27/4,IF(AND(AO27=1,SUM($AJ27:$AO27)=3),$M27/3,IF(AND(AO27=1,SUM($AJ27:$AO27)=2),$M27/2,IF(AND(AO27=1,SUM($AJ27:$AO27)=1),$M27,0))))))</f>
        <v>0</v>
      </c>
      <c r="AV27" s="29" t="s">
        <v>114</v>
      </c>
      <c r="AW27" s="29" t="s">
        <v>261</v>
      </c>
      <c r="AX27" s="29" t="s">
        <v>114</v>
      </c>
      <c r="AY27" s="30"/>
      <c r="AZ27" s="29" t="s">
        <v>117</v>
      </c>
      <c r="BA27" s="30"/>
      <c r="BB27" s="29" t="s">
        <v>114</v>
      </c>
      <c r="BC27" s="30"/>
      <c r="BD27" s="26" t="s">
        <v>116</v>
      </c>
      <c r="BE27" s="29" t="s">
        <v>262</v>
      </c>
      <c r="BF27" s="29" t="s">
        <v>116</v>
      </c>
      <c r="BG27" s="30" t="s">
        <v>119</v>
      </c>
    </row>
    <row r="28" customFormat="false" ht="39.55" hidden="false" customHeight="false" outlineLevel="0" collapsed="false">
      <c r="A28" s="20" t="n">
        <v>26</v>
      </c>
      <c r="B28" s="32" t="s">
        <v>11</v>
      </c>
      <c r="C28" s="20" t="s">
        <v>231</v>
      </c>
      <c r="D28" s="32" t="s">
        <v>263</v>
      </c>
      <c r="E28" s="32" t="s">
        <v>46</v>
      </c>
      <c r="F28" s="21" t="s">
        <v>4</v>
      </c>
      <c r="G28" s="21" t="s">
        <v>109</v>
      </c>
      <c r="H28" s="21" t="s">
        <v>121</v>
      </c>
      <c r="I28" s="22" t="s">
        <v>111</v>
      </c>
      <c r="J28" s="22" t="s">
        <v>25</v>
      </c>
      <c r="K28" s="23" t="s">
        <v>122</v>
      </c>
      <c r="L28" s="24" t="n">
        <f aca="false">M28*3600</f>
        <v>3645000000</v>
      </c>
      <c r="M28" s="25" t="n">
        <v>1012500</v>
      </c>
      <c r="N28" s="21"/>
      <c r="O28" s="21" t="s">
        <v>264</v>
      </c>
      <c r="P28" s="21" t="s">
        <v>245</v>
      </c>
      <c r="Q28" s="21"/>
      <c r="R28" s="26"/>
      <c r="S28" s="27" t="n">
        <v>1</v>
      </c>
      <c r="T28" s="26"/>
      <c r="U28" s="26"/>
      <c r="V28" s="26"/>
      <c r="W28" s="26"/>
      <c r="X28" s="26"/>
      <c r="Y28" s="26"/>
      <c r="Z28" s="27" t="n">
        <v>1</v>
      </c>
      <c r="AA28" s="26"/>
      <c r="AB28" s="26"/>
      <c r="AC28" s="26"/>
      <c r="AD28" s="26"/>
      <c r="AE28" s="26"/>
      <c r="AF28" s="26"/>
      <c r="AG28" s="26"/>
      <c r="AH28" s="27" t="n">
        <v>1</v>
      </c>
      <c r="AI28" s="26"/>
      <c r="AJ28" s="22" t="n">
        <f aca="false">IF(SUM(R28:T28)&gt;0,1,0)</f>
        <v>1</v>
      </c>
      <c r="AK28" s="22" t="n">
        <f aca="false">IF(SUM(U28:W28)&gt;0,1,0)</f>
        <v>0</v>
      </c>
      <c r="AL28" s="22" t="n">
        <f aca="false">IF(SUM(X28:Z28)&gt;0,1,0)</f>
        <v>1</v>
      </c>
      <c r="AM28" s="22" t="n">
        <f aca="false">IF(SUM(AA28:AC28)&gt;0,1,0)</f>
        <v>0</v>
      </c>
      <c r="AN28" s="22" t="n">
        <f aca="false">IF(SUM(AD28:AF28)&gt;0,1,0)</f>
        <v>0</v>
      </c>
      <c r="AO28" s="22" t="n">
        <f aca="false">IF(SUM(AG28:AI28)&gt;0,1,0)</f>
        <v>1</v>
      </c>
      <c r="AP28" s="28" t="n">
        <f aca="false">IF(AND(AJ28=1,SUM($AJ28:$AO28)=6),$M28/6,IF(AND(AJ28=1,SUM($AJ28:$AO28)=5),$M28/5,IF(AND(AJ28=1,SUM($AJ28:$AO28)=4),$M28/4,IF(AND(AJ28=1,SUM($AJ28:$AO28)=3),$M28/3,IF(AND(AJ28=1,SUM($AJ28:$AO28)=2),$M28/2,IF(AND(AJ28=1,SUM($AJ28:$AO28)=1),$M28,0))))))</f>
        <v>337500</v>
      </c>
      <c r="AQ28" s="28" t="n">
        <f aca="false">IF(AND(AK28=1,SUM($AJ28:$AO28)=6),$M28/6,IF(AND(AK28=1,SUM($AJ28:$AO28)=5),$M28/5,IF(AND(AK28=1,SUM($AJ28:$AO28)=4),$M28/4,IF(AND(AK28=1,SUM($AJ28:$AO28)=3),$M28/3,IF(AND(AK28=1,SUM($AJ28:$AO28)=2),$M28/2,IF(AND(AK28=1,SUM($AJ28:$AO28)=1),$M28,0))))))</f>
        <v>0</v>
      </c>
      <c r="AR28" s="28" t="n">
        <f aca="false">IF(AND(AL28=1,SUM($AJ28:$AO28)=6),$M28/6,IF(AND(AL28=1,SUM($AJ28:$AO28)=5),$M28/5,IF(AND(AL28=1,SUM($AJ28:$AO28)=4),$M28/4,IF(AND(AL28=1,SUM($AJ28:$AO28)=3),$M28/3,IF(AND(AL28=1,SUM($AJ28:$AO28)=2),$M28/2,IF(AND(AL28=1,SUM($AJ28:$AO28)=1),$M28,0))))))</f>
        <v>337500</v>
      </c>
      <c r="AS28" s="28" t="n">
        <f aca="false">IF(AND(AM28=1,SUM($AJ28:$AO28)=6),$M28/6,IF(AND(AM28=1,SUM($AJ28:$AO28)=5),$M28/5,IF(AND(AM28=1,SUM($AJ28:$AO28)=4),$M28/4,IF(AND(AM28=1,SUM($AJ28:$AO28)=3),$M28/3,IF(AND(AM28=1,SUM($AJ28:$AO28)=2),$M28/2,IF(AND(AM28=1,SUM($AJ28:$AO28)=1),$M28,0))))))</f>
        <v>0</v>
      </c>
      <c r="AT28" s="28" t="n">
        <f aca="false">IF(AND(AN28=1,SUM($AJ28:$AO28)=6),$M28/6,IF(AND(AN28=1,SUM($AJ28:$AO28)=5),$M28/5,IF(AND(AN28=1,SUM($AJ28:$AO28)=4),$M28/4,IF(AND(AN28=1,SUM($AJ28:$AO28)=3),$M28/3,IF(AND(AN28=1,SUM($AJ28:$AO28)=2),$M28/2,IF(AND(AN28=1,SUM($AJ28:$AO28)=1),$M28,0))))))</f>
        <v>0</v>
      </c>
      <c r="AU28" s="28" t="n">
        <f aca="false">IF(AND(AO28=1,SUM($AJ28:$AO28)=6),$M28/6,IF(AND(AO28=1,SUM($AJ28:$AO28)=5),$M28/5,IF(AND(AO28=1,SUM($AJ28:$AO28)=4),$M28/4,IF(AND(AO28=1,SUM($AJ28:$AO28)=3),$M28/3,IF(AND(AO28=1,SUM($AJ28:$AO28)=2),$M28/2,IF(AND(AO28=1,SUM($AJ28:$AO28)=1),$M28,0))))))</f>
        <v>337500</v>
      </c>
      <c r="AV28" s="29" t="s">
        <v>114</v>
      </c>
      <c r="AW28" s="29"/>
      <c r="AX28" s="29" t="s">
        <v>116</v>
      </c>
      <c r="AY28" s="30"/>
      <c r="AZ28" s="29" t="s">
        <v>117</v>
      </c>
      <c r="BA28" s="30"/>
      <c r="BB28" s="29" t="s">
        <v>117</v>
      </c>
      <c r="BC28" s="29" t="s">
        <v>265</v>
      </c>
      <c r="BD28" s="29" t="s">
        <v>116</v>
      </c>
      <c r="BE28" s="29" t="s">
        <v>266</v>
      </c>
      <c r="BF28" s="29" t="s">
        <v>116</v>
      </c>
      <c r="BG28" s="30" t="s">
        <v>119</v>
      </c>
    </row>
    <row r="29" customFormat="false" ht="39.55" hidden="false" customHeight="false" outlineLevel="0" collapsed="false">
      <c r="A29" s="20" t="n">
        <v>27</v>
      </c>
      <c r="B29" s="33" t="s">
        <v>11</v>
      </c>
      <c r="C29" s="20" t="s">
        <v>231</v>
      </c>
      <c r="D29" s="20" t="s">
        <v>267</v>
      </c>
      <c r="E29" s="20" t="s">
        <v>46</v>
      </c>
      <c r="F29" s="21" t="s">
        <v>4</v>
      </c>
      <c r="G29" s="21" t="s">
        <v>109</v>
      </c>
      <c r="H29" s="21"/>
      <c r="I29" s="22"/>
      <c r="J29" s="22" t="s">
        <v>24</v>
      </c>
      <c r="K29" s="23" t="s">
        <v>130</v>
      </c>
      <c r="L29" s="24" t="n">
        <f aca="false">M29*3600</f>
        <v>3646800000</v>
      </c>
      <c r="M29" s="25" t="n">
        <v>1013000</v>
      </c>
      <c r="N29" s="21" t="s">
        <v>268</v>
      </c>
      <c r="O29" s="21" t="s">
        <v>269</v>
      </c>
      <c r="P29" s="21" t="s">
        <v>270</v>
      </c>
      <c r="Q29" s="21" t="s">
        <v>212</v>
      </c>
      <c r="R29" s="39"/>
      <c r="S29" s="39"/>
      <c r="T29" s="39"/>
      <c r="U29" s="39"/>
      <c r="V29" s="39"/>
      <c r="W29" s="39"/>
      <c r="X29" s="27" t="n">
        <v>1</v>
      </c>
      <c r="Y29" s="27" t="n">
        <v>1</v>
      </c>
      <c r="Z29" s="27" t="n">
        <v>1</v>
      </c>
      <c r="AA29" s="27" t="n">
        <v>1</v>
      </c>
      <c r="AB29" s="27" t="n">
        <v>1</v>
      </c>
      <c r="AC29" s="27" t="n">
        <v>1</v>
      </c>
      <c r="AD29" s="27" t="n">
        <v>1</v>
      </c>
      <c r="AE29" s="27" t="n">
        <v>1</v>
      </c>
      <c r="AF29" s="27" t="n">
        <v>1</v>
      </c>
      <c r="AG29" s="27" t="n">
        <v>1</v>
      </c>
      <c r="AH29" s="27" t="n">
        <v>1</v>
      </c>
      <c r="AI29" s="27" t="n">
        <v>1</v>
      </c>
      <c r="AJ29" s="22" t="n">
        <f aca="false">IF(SUM(R29:T29)&gt;0,1,0)</f>
        <v>0</v>
      </c>
      <c r="AK29" s="22" t="n">
        <f aca="false">IF(SUM(U29:W29)&gt;0,1,0)</f>
        <v>0</v>
      </c>
      <c r="AL29" s="22" t="n">
        <f aca="false">IF(SUM(X29:Z29)&gt;0,1,0)</f>
        <v>1</v>
      </c>
      <c r="AM29" s="22" t="n">
        <f aca="false">IF(SUM(AA29:AC29)&gt;0,1,0)</f>
        <v>1</v>
      </c>
      <c r="AN29" s="22" t="n">
        <f aca="false">IF(SUM(AD29:AF29)&gt;0,1,0)</f>
        <v>1</v>
      </c>
      <c r="AO29" s="22" t="n">
        <f aca="false">IF(SUM(AG29:AI29)&gt;0,1,0)</f>
        <v>1</v>
      </c>
      <c r="AP29" s="28" t="n">
        <f aca="false">IF(AND(AJ29=1,SUM($AJ29:$AO29)=6),$M29/6,IF(AND(AJ29=1,SUM($AJ29:$AO29)=5),$M29/5,IF(AND(AJ29=1,SUM($AJ29:$AO29)=4),$M29/4,IF(AND(AJ29=1,SUM($AJ29:$AO29)=3),$M29/3,IF(AND(AJ29=1,SUM($AJ29:$AO29)=2),$M29/2,IF(AND(AJ29=1,SUM($AJ29:$AO29)=1),$M29,0))))))</f>
        <v>0</v>
      </c>
      <c r="AQ29" s="28" t="n">
        <f aca="false">IF(AND(AK29=1,SUM($AJ29:$AO29)=6),$M29/6,IF(AND(AK29=1,SUM($AJ29:$AO29)=5),$M29/5,IF(AND(AK29=1,SUM($AJ29:$AO29)=4),$M29/4,IF(AND(AK29=1,SUM($AJ29:$AO29)=3),$M29/3,IF(AND(AK29=1,SUM($AJ29:$AO29)=2),$M29/2,IF(AND(AK29=1,SUM($AJ29:$AO29)=1),$M29,0))))))</f>
        <v>0</v>
      </c>
      <c r="AR29" s="28" t="n">
        <f aca="false">IF(AND(AL29=1,SUM($AJ29:$AO29)=6),$M29/6,IF(AND(AL29=1,SUM($AJ29:$AO29)=5),$M29/5,IF(AND(AL29=1,SUM($AJ29:$AO29)=4),$M29/4,IF(AND(AL29=1,SUM($AJ29:$AO29)=3),$M29/3,IF(AND(AL29=1,SUM($AJ29:$AO29)=2),$M29/2,IF(AND(AL29=1,SUM($AJ29:$AO29)=1),$M29,0))))))</f>
        <v>253250</v>
      </c>
      <c r="AS29" s="28" t="n">
        <f aca="false">IF(AND(AM29=1,SUM($AJ29:$AO29)=6),$M29/6,IF(AND(AM29=1,SUM($AJ29:$AO29)=5),$M29/5,IF(AND(AM29=1,SUM($AJ29:$AO29)=4),$M29/4,IF(AND(AM29=1,SUM($AJ29:$AO29)=3),$M29/3,IF(AND(AM29=1,SUM($AJ29:$AO29)=2),$M29/2,IF(AND(AM29=1,SUM($AJ29:$AO29)=1),$M29,0))))))</f>
        <v>253250</v>
      </c>
      <c r="AT29" s="28" t="n">
        <f aca="false">IF(AND(AN29=1,SUM($AJ29:$AO29)=6),$M29/6,IF(AND(AN29=1,SUM($AJ29:$AO29)=5),$M29/5,IF(AND(AN29=1,SUM($AJ29:$AO29)=4),$M29/4,IF(AND(AN29=1,SUM($AJ29:$AO29)=3),$M29/3,IF(AND(AN29=1,SUM($AJ29:$AO29)=2),$M29/2,IF(AND(AN29=1,SUM($AJ29:$AO29)=1),$M29,0))))))</f>
        <v>253250</v>
      </c>
      <c r="AU29" s="28" t="n">
        <f aca="false">IF(AND(AO29=1,SUM($AJ29:$AO29)=6),$M29/6,IF(AND(AO29=1,SUM($AJ29:$AO29)=5),$M29/5,IF(AND(AO29=1,SUM($AJ29:$AO29)=4),$M29/4,IF(AND(AO29=1,SUM($AJ29:$AO29)=3),$M29/3,IF(AND(AO29=1,SUM($AJ29:$AO29)=2),$M29/2,IF(AND(AO29=1,SUM($AJ29:$AO29)=1),$M29,0))))))</f>
        <v>253250</v>
      </c>
      <c r="AV29" s="29" t="s">
        <v>114</v>
      </c>
      <c r="AW29" s="29"/>
      <c r="AX29" s="29" t="s">
        <v>116</v>
      </c>
      <c r="AY29" s="30"/>
      <c r="AZ29" s="29" t="s">
        <v>117</v>
      </c>
      <c r="BA29" s="30"/>
      <c r="BB29" s="29" t="s">
        <v>117</v>
      </c>
      <c r="BC29" s="29" t="s">
        <v>271</v>
      </c>
      <c r="BD29" s="29" t="s">
        <v>116</v>
      </c>
      <c r="BE29" s="29" t="s">
        <v>272</v>
      </c>
      <c r="BF29" s="29" t="s">
        <v>114</v>
      </c>
      <c r="BG29" s="30" t="s">
        <v>119</v>
      </c>
    </row>
    <row r="30" customFormat="false" ht="39.55" hidden="false" customHeight="false" outlineLevel="0" collapsed="false">
      <c r="A30" s="20" t="n">
        <v>28</v>
      </c>
      <c r="B30" s="33" t="s">
        <v>11</v>
      </c>
      <c r="C30" s="20" t="s">
        <v>107</v>
      </c>
      <c r="D30" s="20" t="s">
        <v>273</v>
      </c>
      <c r="E30" s="20" t="s">
        <v>45</v>
      </c>
      <c r="F30" s="21" t="s">
        <v>4</v>
      </c>
      <c r="G30" s="21" t="s">
        <v>109</v>
      </c>
      <c r="H30" s="21"/>
      <c r="I30" s="22"/>
      <c r="J30" s="22" t="s">
        <v>24</v>
      </c>
      <c r="K30" s="23" t="s">
        <v>16</v>
      </c>
      <c r="L30" s="24" t="n">
        <f aca="false">M30*3600</f>
        <v>3648600000</v>
      </c>
      <c r="M30" s="25" t="n">
        <v>1013500</v>
      </c>
      <c r="N30" s="21"/>
      <c r="O30" s="21" t="s">
        <v>218</v>
      </c>
      <c r="P30" s="21" t="s">
        <v>274</v>
      </c>
      <c r="Q30" s="21" t="s">
        <v>212</v>
      </c>
      <c r="R30" s="26"/>
      <c r="S30" s="26"/>
      <c r="T30" s="26"/>
      <c r="U30" s="26"/>
      <c r="V30" s="26"/>
      <c r="W30" s="26"/>
      <c r="X30" s="27" t="n">
        <v>1</v>
      </c>
      <c r="Y30" s="27" t="n">
        <v>1</v>
      </c>
      <c r="Z30" s="27" t="n">
        <v>1</v>
      </c>
      <c r="AA30" s="26"/>
      <c r="AB30" s="26"/>
      <c r="AC30" s="26"/>
      <c r="AD30" s="26"/>
      <c r="AE30" s="26"/>
      <c r="AF30" s="26"/>
      <c r="AG30" s="26"/>
      <c r="AH30" s="26"/>
      <c r="AI30" s="26"/>
      <c r="AJ30" s="22" t="n">
        <f aca="false">IF(SUM(R30:T30)&gt;0,1,0)</f>
        <v>0</v>
      </c>
      <c r="AK30" s="22" t="n">
        <f aca="false">IF(SUM(U30:W30)&gt;0,1,0)</f>
        <v>0</v>
      </c>
      <c r="AL30" s="22" t="n">
        <f aca="false">IF(SUM(X30:Z30)&gt;0,1,0)</f>
        <v>1</v>
      </c>
      <c r="AM30" s="22" t="n">
        <f aca="false">IF(SUM(AA30:AC30)&gt;0,1,0)</f>
        <v>0</v>
      </c>
      <c r="AN30" s="22" t="n">
        <f aca="false">IF(SUM(AD30:AF30)&gt;0,1,0)</f>
        <v>0</v>
      </c>
      <c r="AO30" s="22" t="n">
        <f aca="false">IF(SUM(AG30:AI30)&gt;0,1,0)</f>
        <v>0</v>
      </c>
      <c r="AP30" s="28" t="n">
        <f aca="false">IF(AND(AJ30=1,SUM($AJ30:$AO30)=6),$M30/6,IF(AND(AJ30=1,SUM($AJ30:$AO30)=5),$M30/5,IF(AND(AJ30=1,SUM($AJ30:$AO30)=4),$M30/4,IF(AND(AJ30=1,SUM($AJ30:$AO30)=3),$M30/3,IF(AND(AJ30=1,SUM($AJ30:$AO30)=2),$M30/2,IF(AND(AJ30=1,SUM($AJ30:$AO30)=1),$M30,0))))))</f>
        <v>0</v>
      </c>
      <c r="AQ30" s="28" t="n">
        <f aca="false">IF(AND(AK30=1,SUM($AJ30:$AO30)=6),$M30/6,IF(AND(AK30=1,SUM($AJ30:$AO30)=5),$M30/5,IF(AND(AK30=1,SUM($AJ30:$AO30)=4),$M30/4,IF(AND(AK30=1,SUM($AJ30:$AO30)=3),$M30/3,IF(AND(AK30=1,SUM($AJ30:$AO30)=2),$M30/2,IF(AND(AK30=1,SUM($AJ30:$AO30)=1),$M30,0))))))</f>
        <v>0</v>
      </c>
      <c r="AR30" s="28" t="n">
        <f aca="false">IF(AND(AL30=1,SUM($AJ30:$AO30)=6),$M30/6,IF(AND(AL30=1,SUM($AJ30:$AO30)=5),$M30/5,IF(AND(AL30=1,SUM($AJ30:$AO30)=4),$M30/4,IF(AND(AL30=1,SUM($AJ30:$AO30)=3),$M30/3,IF(AND(AL30=1,SUM($AJ30:$AO30)=2),$M30/2,IF(AND(AL30=1,SUM($AJ30:$AO30)=1),$M30,0))))))</f>
        <v>1013500</v>
      </c>
      <c r="AS30" s="28" t="n">
        <f aca="false">IF(AND(AM30=1,SUM($AJ30:$AO30)=6),$M30/6,IF(AND(AM30=1,SUM($AJ30:$AO30)=5),$M30/5,IF(AND(AM30=1,SUM($AJ30:$AO30)=4),$M30/4,IF(AND(AM30=1,SUM($AJ30:$AO30)=3),$M30/3,IF(AND(AM30=1,SUM($AJ30:$AO30)=2),$M30/2,IF(AND(AM30=1,SUM($AJ30:$AO30)=1),$M30,0))))))</f>
        <v>0</v>
      </c>
      <c r="AT30" s="28" t="n">
        <f aca="false">IF(AND(AN30=1,SUM($AJ30:$AO30)=6),$M30/6,IF(AND(AN30=1,SUM($AJ30:$AO30)=5),$M30/5,IF(AND(AN30=1,SUM($AJ30:$AO30)=4),$M30/4,IF(AND(AN30=1,SUM($AJ30:$AO30)=3),$M30/3,IF(AND(AN30=1,SUM($AJ30:$AO30)=2),$M30/2,IF(AND(AN30=1,SUM($AJ30:$AO30)=1),$M30,0))))))</f>
        <v>0</v>
      </c>
      <c r="AU30" s="28" t="n">
        <f aca="false">IF(AND(AO30=1,SUM($AJ30:$AO30)=6),$M30/6,IF(AND(AO30=1,SUM($AJ30:$AO30)=5),$M30/5,IF(AND(AO30=1,SUM($AJ30:$AO30)=4),$M30/4,IF(AND(AO30=1,SUM($AJ30:$AO30)=3),$M30/3,IF(AND(AO30=1,SUM($AJ30:$AO30)=2),$M30/2,IF(AND(AO30=1,SUM($AJ30:$AO30)=1),$M30,0))))))</f>
        <v>0</v>
      </c>
      <c r="AV30" s="29" t="s">
        <v>114</v>
      </c>
      <c r="AW30" s="29"/>
      <c r="AX30" s="29" t="s">
        <v>116</v>
      </c>
      <c r="AY30" s="30"/>
      <c r="AZ30" s="29" t="s">
        <v>117</v>
      </c>
      <c r="BA30" s="30"/>
      <c r="BB30" s="29" t="s">
        <v>117</v>
      </c>
      <c r="BC30" s="29" t="s">
        <v>275</v>
      </c>
      <c r="BD30" s="29" t="s">
        <v>116</v>
      </c>
      <c r="BE30" s="29" t="s">
        <v>276</v>
      </c>
      <c r="BF30" s="29" t="s">
        <v>114</v>
      </c>
      <c r="BG30" s="30" t="s">
        <v>119</v>
      </c>
    </row>
    <row r="31" customFormat="false" ht="41.75" hidden="false" customHeight="false" outlineLevel="0" collapsed="false">
      <c r="A31" s="20" t="n">
        <v>29</v>
      </c>
      <c r="B31" s="36" t="s">
        <v>11</v>
      </c>
      <c r="C31" s="20" t="s">
        <v>231</v>
      </c>
      <c r="D31" s="36" t="s">
        <v>277</v>
      </c>
      <c r="E31" s="36" t="s">
        <v>46</v>
      </c>
      <c r="F31" s="21" t="s">
        <v>4</v>
      </c>
      <c r="G31" s="21" t="s">
        <v>109</v>
      </c>
      <c r="H31" s="36" t="s">
        <v>233</v>
      </c>
      <c r="I31" s="22" t="s">
        <v>111</v>
      </c>
      <c r="J31" s="22" t="s">
        <v>26</v>
      </c>
      <c r="K31" s="23" t="s">
        <v>122</v>
      </c>
      <c r="L31" s="24" t="n">
        <f aca="false">M31*3600</f>
        <v>3650400000</v>
      </c>
      <c r="M31" s="25" t="n">
        <v>1014000</v>
      </c>
      <c r="N31" s="36"/>
      <c r="O31" s="21" t="s">
        <v>278</v>
      </c>
      <c r="P31" s="21" t="s">
        <v>279</v>
      </c>
      <c r="Q31" s="36"/>
      <c r="R31" s="26"/>
      <c r="S31" s="26"/>
      <c r="T31" s="26"/>
      <c r="U31" s="26" t="n">
        <v>1</v>
      </c>
      <c r="V31" s="26" t="n">
        <v>1</v>
      </c>
      <c r="W31" s="26" t="n">
        <v>1</v>
      </c>
      <c r="X31" s="26"/>
      <c r="Y31" s="26"/>
      <c r="Z31" s="26"/>
      <c r="AA31" s="26"/>
      <c r="AB31" s="26"/>
      <c r="AC31" s="26"/>
      <c r="AD31" s="26"/>
      <c r="AE31" s="26"/>
      <c r="AF31" s="26"/>
      <c r="AG31" s="26"/>
      <c r="AH31" s="26"/>
      <c r="AI31" s="26"/>
      <c r="AJ31" s="22" t="n">
        <f aca="false">IF(SUM(R31:T31)&gt;0,1,0)</f>
        <v>0</v>
      </c>
      <c r="AK31" s="22" t="n">
        <f aca="false">IF(SUM(U31:W31)&gt;0,1,0)</f>
        <v>1</v>
      </c>
      <c r="AL31" s="22" t="n">
        <f aca="false">IF(SUM(X31:Z31)&gt;0,1,0)</f>
        <v>0</v>
      </c>
      <c r="AM31" s="22" t="n">
        <f aca="false">IF(SUM(AA31:AC31)&gt;0,1,0)</f>
        <v>0</v>
      </c>
      <c r="AN31" s="22" t="n">
        <f aca="false">IF(SUM(AD31:AF31)&gt;0,1,0)</f>
        <v>0</v>
      </c>
      <c r="AO31" s="22" t="n">
        <f aca="false">IF(SUM(AG31:AI31)&gt;0,1,0)</f>
        <v>0</v>
      </c>
      <c r="AP31" s="28" t="n">
        <f aca="false">IF(AND(AJ31=1,SUM($AJ31:$AO31)=6),$M31/6,IF(AND(AJ31=1,SUM($AJ31:$AO31)=5),$M31/5,IF(AND(AJ31=1,SUM($AJ31:$AO31)=4),$M31/4,IF(AND(AJ31=1,SUM($AJ31:$AO31)=3),$M31/3,IF(AND(AJ31=1,SUM($AJ31:$AO31)=2),$M31/2,IF(AND(AJ31=1,SUM($AJ31:$AO31)=1),$M31,0))))))</f>
        <v>0</v>
      </c>
      <c r="AQ31" s="28" t="n">
        <f aca="false">IF(AND(AK31=1,SUM($AJ31:$AO31)=6),$M31/6,IF(AND(AK31=1,SUM($AJ31:$AO31)=5),$M31/5,IF(AND(AK31=1,SUM($AJ31:$AO31)=4),$M31/4,IF(AND(AK31=1,SUM($AJ31:$AO31)=3),$M31/3,IF(AND(AK31=1,SUM($AJ31:$AO31)=2),$M31/2,IF(AND(AK31=1,SUM($AJ31:$AO31)=1),$M31,0))))))</f>
        <v>1014000</v>
      </c>
      <c r="AR31" s="28" t="n">
        <f aca="false">IF(AND(AL31=1,SUM($AJ31:$AO31)=6),$M31/6,IF(AND(AL31=1,SUM($AJ31:$AO31)=5),$M31/5,IF(AND(AL31=1,SUM($AJ31:$AO31)=4),$M31/4,IF(AND(AL31=1,SUM($AJ31:$AO31)=3),$M31/3,IF(AND(AL31=1,SUM($AJ31:$AO31)=2),$M31/2,IF(AND(AL31=1,SUM($AJ31:$AO31)=1),$M31,0))))))</f>
        <v>0</v>
      </c>
      <c r="AS31" s="28" t="n">
        <f aca="false">IF(AND(AM31=1,SUM($AJ31:$AO31)=6),$M31/6,IF(AND(AM31=1,SUM($AJ31:$AO31)=5),$M31/5,IF(AND(AM31=1,SUM($AJ31:$AO31)=4),$M31/4,IF(AND(AM31=1,SUM($AJ31:$AO31)=3),$M31/3,IF(AND(AM31=1,SUM($AJ31:$AO31)=2),$M31/2,IF(AND(AM31=1,SUM($AJ31:$AO31)=1),$M31,0))))))</f>
        <v>0</v>
      </c>
      <c r="AT31" s="28" t="n">
        <f aca="false">IF(AND(AN31=1,SUM($AJ31:$AO31)=6),$M31/6,IF(AND(AN31=1,SUM($AJ31:$AO31)=5),$M31/5,IF(AND(AN31=1,SUM($AJ31:$AO31)=4),$M31/4,IF(AND(AN31=1,SUM($AJ31:$AO31)=3),$M31/3,IF(AND(AN31=1,SUM($AJ31:$AO31)=2),$M31/2,IF(AND(AN31=1,SUM($AJ31:$AO31)=1),$M31,0))))))</f>
        <v>0</v>
      </c>
      <c r="AU31" s="28" t="n">
        <f aca="false">IF(AND(AO31=1,SUM($AJ31:$AO31)=6),$M31/6,IF(AND(AO31=1,SUM($AJ31:$AO31)=5),$M31/5,IF(AND(AO31=1,SUM($AJ31:$AO31)=4),$M31/4,IF(AND(AO31=1,SUM($AJ31:$AO31)=3),$M31/3,IF(AND(AO31=1,SUM($AJ31:$AO31)=2),$M31/2,IF(AND(AO31=1,SUM($AJ31:$AO31)=1),$M31,0))))))</f>
        <v>0</v>
      </c>
      <c r="AV31" s="29" t="s">
        <v>114</v>
      </c>
      <c r="AW31" s="26"/>
      <c r="AX31" s="29" t="s">
        <v>114</v>
      </c>
      <c r="AY31" s="26"/>
      <c r="AZ31" s="29" t="s">
        <v>117</v>
      </c>
      <c r="BA31" s="26"/>
      <c r="BB31" s="29" t="s">
        <v>117</v>
      </c>
      <c r="BC31" s="29" t="s">
        <v>280</v>
      </c>
      <c r="BD31" s="29" t="s">
        <v>117</v>
      </c>
      <c r="BE31" s="29" t="s">
        <v>281</v>
      </c>
      <c r="BF31" s="29" t="s">
        <v>117</v>
      </c>
      <c r="BG31" s="30" t="s">
        <v>119</v>
      </c>
    </row>
    <row r="32" customFormat="false" ht="39.55" hidden="false" customHeight="false" outlineLevel="0" collapsed="false">
      <c r="A32" s="20" t="n">
        <v>30</v>
      </c>
      <c r="B32" s="20" t="s">
        <v>13</v>
      </c>
      <c r="C32" s="20" t="s">
        <v>107</v>
      </c>
      <c r="D32" s="20" t="s">
        <v>282</v>
      </c>
      <c r="E32" s="20" t="s">
        <v>46</v>
      </c>
      <c r="F32" s="21" t="s">
        <v>4</v>
      </c>
      <c r="G32" s="21" t="s">
        <v>109</v>
      </c>
      <c r="H32" s="21" t="s">
        <v>283</v>
      </c>
      <c r="I32" s="22" t="s">
        <v>111</v>
      </c>
      <c r="J32" s="22" t="s">
        <v>16</v>
      </c>
      <c r="K32" s="23" t="s">
        <v>130</v>
      </c>
      <c r="L32" s="24" t="n">
        <f aca="false">M32*3600</f>
        <v>9052200000</v>
      </c>
      <c r="M32" s="25" t="n">
        <v>2514500</v>
      </c>
      <c r="N32" s="21"/>
      <c r="O32" s="21" t="s">
        <v>284</v>
      </c>
      <c r="P32" s="21" t="s">
        <v>285</v>
      </c>
      <c r="Q32" s="21"/>
      <c r="R32" s="26"/>
      <c r="S32" s="26"/>
      <c r="T32" s="26"/>
      <c r="U32" s="26"/>
      <c r="V32" s="26"/>
      <c r="W32" s="26"/>
      <c r="X32" s="27" t="n">
        <v>1</v>
      </c>
      <c r="Y32" s="27" t="n">
        <v>1</v>
      </c>
      <c r="Z32" s="27" t="n">
        <v>1</v>
      </c>
      <c r="AA32" s="27" t="n">
        <v>1</v>
      </c>
      <c r="AB32" s="27" t="n">
        <v>1</v>
      </c>
      <c r="AC32" s="27" t="n">
        <v>1</v>
      </c>
      <c r="AD32" s="27" t="n">
        <v>1</v>
      </c>
      <c r="AE32" s="27" t="n">
        <v>1</v>
      </c>
      <c r="AF32" s="27" t="n">
        <v>1</v>
      </c>
      <c r="AG32" s="27" t="n">
        <v>1</v>
      </c>
      <c r="AH32" s="27" t="n">
        <v>1</v>
      </c>
      <c r="AI32" s="27" t="n">
        <v>1</v>
      </c>
      <c r="AJ32" s="22" t="n">
        <f aca="false">IF(SUM(R32:T32)&gt;0,1,0)</f>
        <v>0</v>
      </c>
      <c r="AK32" s="22" t="n">
        <f aca="false">IF(SUM(U32:W32)&gt;0,1,0)</f>
        <v>0</v>
      </c>
      <c r="AL32" s="22" t="n">
        <f aca="false">IF(SUM(X32:Z32)&gt;0,1,0)</f>
        <v>1</v>
      </c>
      <c r="AM32" s="22" t="n">
        <f aca="false">IF(SUM(AA32:AC32)&gt;0,1,0)</f>
        <v>1</v>
      </c>
      <c r="AN32" s="22" t="n">
        <f aca="false">IF(SUM(AD32:AF32)&gt;0,1,0)</f>
        <v>1</v>
      </c>
      <c r="AO32" s="22" t="n">
        <f aca="false">IF(SUM(AG32:AI32)&gt;0,1,0)</f>
        <v>1</v>
      </c>
      <c r="AP32" s="28" t="n">
        <f aca="false">IF(AND(AJ32=1,SUM($AJ32:$AO32)=6),$M32/6,IF(AND(AJ32=1,SUM($AJ32:$AO32)=5),$M32/5,IF(AND(AJ32=1,SUM($AJ32:$AO32)=4),$M32/4,IF(AND(AJ32=1,SUM($AJ32:$AO32)=3),$M32/3,IF(AND(AJ32=1,SUM($AJ32:$AO32)=2),$M32/2,IF(AND(AJ32=1,SUM($AJ32:$AO32)=1),$M32,0))))))</f>
        <v>0</v>
      </c>
      <c r="AQ32" s="28" t="n">
        <f aca="false">IF(AND(AK32=1,SUM($AJ32:$AO32)=6),$M32/6,IF(AND(AK32=1,SUM($AJ32:$AO32)=5),$M32/5,IF(AND(AK32=1,SUM($AJ32:$AO32)=4),$M32/4,IF(AND(AK32=1,SUM($AJ32:$AO32)=3),$M32/3,IF(AND(AK32=1,SUM($AJ32:$AO32)=2),$M32/2,IF(AND(AK32=1,SUM($AJ32:$AO32)=1),$M32,0))))))</f>
        <v>0</v>
      </c>
      <c r="AR32" s="28" t="n">
        <f aca="false">IF(AND(AL32=1,SUM($AJ32:$AO32)=6),$M32/6,IF(AND(AL32=1,SUM($AJ32:$AO32)=5),$M32/5,IF(AND(AL32=1,SUM($AJ32:$AO32)=4),$M32/4,IF(AND(AL32=1,SUM($AJ32:$AO32)=3),$M32/3,IF(AND(AL32=1,SUM($AJ32:$AO32)=2),$M32/2,IF(AND(AL32=1,SUM($AJ32:$AO32)=1),$M32,0))))))</f>
        <v>628625</v>
      </c>
      <c r="AS32" s="28" t="n">
        <f aca="false">IF(AND(AM32=1,SUM($AJ32:$AO32)=6),$M32/6,IF(AND(AM32=1,SUM($AJ32:$AO32)=5),$M32/5,IF(AND(AM32=1,SUM($AJ32:$AO32)=4),$M32/4,IF(AND(AM32=1,SUM($AJ32:$AO32)=3),$M32/3,IF(AND(AM32=1,SUM($AJ32:$AO32)=2),$M32/2,IF(AND(AM32=1,SUM($AJ32:$AO32)=1),$M32,0))))))</f>
        <v>628625</v>
      </c>
      <c r="AT32" s="28" t="n">
        <f aca="false">IF(AND(AN32=1,SUM($AJ32:$AO32)=6),$M32/6,IF(AND(AN32=1,SUM($AJ32:$AO32)=5),$M32/5,IF(AND(AN32=1,SUM($AJ32:$AO32)=4),$M32/4,IF(AND(AN32=1,SUM($AJ32:$AO32)=3),$M32/3,IF(AND(AN32=1,SUM($AJ32:$AO32)=2),$M32/2,IF(AND(AN32=1,SUM($AJ32:$AO32)=1),$M32,0))))))</f>
        <v>628625</v>
      </c>
      <c r="AU32" s="28" t="n">
        <f aca="false">IF(AND(AO32=1,SUM($AJ32:$AO32)=6),$M32/6,IF(AND(AO32=1,SUM($AJ32:$AO32)=5),$M32/5,IF(AND(AO32=1,SUM($AJ32:$AO32)=4),$M32/4,IF(AND(AO32=1,SUM($AJ32:$AO32)=3),$M32/3,IF(AND(AO32=1,SUM($AJ32:$AO32)=2),$M32/2,IF(AND(AO32=1,SUM($AJ32:$AO32)=1),$M32,0))))))</f>
        <v>628625</v>
      </c>
      <c r="AV32" s="29" t="s">
        <v>114</v>
      </c>
      <c r="AW32" s="29"/>
      <c r="AX32" s="29" t="s">
        <v>114</v>
      </c>
      <c r="AY32" s="30"/>
      <c r="AZ32" s="29" t="s">
        <v>117</v>
      </c>
      <c r="BA32" s="30"/>
      <c r="BB32" s="29" t="s">
        <v>117</v>
      </c>
      <c r="BC32" s="29" t="s">
        <v>286</v>
      </c>
      <c r="BD32" s="29" t="s">
        <v>117</v>
      </c>
      <c r="BE32" s="29" t="s">
        <v>287</v>
      </c>
      <c r="BF32" s="29" t="s">
        <v>117</v>
      </c>
      <c r="BG32" s="30" t="s">
        <v>119</v>
      </c>
    </row>
    <row r="33" customFormat="false" ht="39.55" hidden="false" customHeight="false" outlineLevel="0" collapsed="false">
      <c r="A33" s="20" t="n">
        <v>31</v>
      </c>
      <c r="B33" s="20" t="s">
        <v>13</v>
      </c>
      <c r="C33" s="20" t="s">
        <v>107</v>
      </c>
      <c r="D33" s="20" t="s">
        <v>288</v>
      </c>
      <c r="E33" s="20" t="s">
        <v>46</v>
      </c>
      <c r="F33" s="21" t="s">
        <v>4</v>
      </c>
      <c r="G33" s="21" t="s">
        <v>109</v>
      </c>
      <c r="H33" s="21" t="s">
        <v>289</v>
      </c>
      <c r="I33" s="22" t="s">
        <v>150</v>
      </c>
      <c r="J33" s="22" t="s">
        <v>16</v>
      </c>
      <c r="K33" s="23" t="s">
        <v>16</v>
      </c>
      <c r="L33" s="24" t="n">
        <f aca="false">M33*3600</f>
        <v>7254000000</v>
      </c>
      <c r="M33" s="25" t="n">
        <v>2015000</v>
      </c>
      <c r="N33" s="21"/>
      <c r="O33" s="21" t="s">
        <v>290</v>
      </c>
      <c r="P33" s="21" t="s">
        <v>113</v>
      </c>
      <c r="Q33" s="21"/>
      <c r="R33" s="26"/>
      <c r="S33" s="26"/>
      <c r="T33" s="26"/>
      <c r="U33" s="26"/>
      <c r="V33" s="26"/>
      <c r="W33" s="26"/>
      <c r="X33" s="26"/>
      <c r="Y33" s="26"/>
      <c r="Z33" s="26"/>
      <c r="AA33" s="26"/>
      <c r="AB33" s="26"/>
      <c r="AC33" s="26"/>
      <c r="AD33" s="26"/>
      <c r="AE33" s="26"/>
      <c r="AF33" s="27" t="n">
        <v>1</v>
      </c>
      <c r="AG33" s="26"/>
      <c r="AH33" s="27" t="n">
        <v>1</v>
      </c>
      <c r="AI33" s="26"/>
      <c r="AJ33" s="22" t="n">
        <f aca="false">IF(SUM(R33:T33)&gt;0,1,0)</f>
        <v>0</v>
      </c>
      <c r="AK33" s="22" t="n">
        <f aca="false">IF(SUM(U33:W33)&gt;0,1,0)</f>
        <v>0</v>
      </c>
      <c r="AL33" s="22" t="n">
        <f aca="false">IF(SUM(X33:Z33)&gt;0,1,0)</f>
        <v>0</v>
      </c>
      <c r="AM33" s="22" t="n">
        <f aca="false">IF(SUM(AA33:AC33)&gt;0,1,0)</f>
        <v>0</v>
      </c>
      <c r="AN33" s="22" t="n">
        <f aca="false">IF(SUM(AD33:AF33)&gt;0,1,0)</f>
        <v>1</v>
      </c>
      <c r="AO33" s="22" t="n">
        <f aca="false">IF(SUM(AG33:AI33)&gt;0,1,0)</f>
        <v>1</v>
      </c>
      <c r="AP33" s="28" t="n">
        <f aca="false">IF(AND(AJ33=1,SUM($AJ33:$AO33)=6),$M33/6,IF(AND(AJ33=1,SUM($AJ33:$AO33)=5),$M33/5,IF(AND(AJ33=1,SUM($AJ33:$AO33)=4),$M33/4,IF(AND(AJ33=1,SUM($AJ33:$AO33)=3),$M33/3,IF(AND(AJ33=1,SUM($AJ33:$AO33)=2),$M33/2,IF(AND(AJ33=1,SUM($AJ33:$AO33)=1),$M33,0))))))</f>
        <v>0</v>
      </c>
      <c r="AQ33" s="28" t="n">
        <f aca="false">IF(AND(AK33=1,SUM($AJ33:$AO33)=6),$M33/6,IF(AND(AK33=1,SUM($AJ33:$AO33)=5),$M33/5,IF(AND(AK33=1,SUM($AJ33:$AO33)=4),$M33/4,IF(AND(AK33=1,SUM($AJ33:$AO33)=3),$M33/3,IF(AND(AK33=1,SUM($AJ33:$AO33)=2),$M33/2,IF(AND(AK33=1,SUM($AJ33:$AO33)=1),$M33,0))))))</f>
        <v>0</v>
      </c>
      <c r="AR33" s="28" t="n">
        <f aca="false">IF(AND(AL33=1,SUM($AJ33:$AO33)=6),$M33/6,IF(AND(AL33=1,SUM($AJ33:$AO33)=5),$M33/5,IF(AND(AL33=1,SUM($AJ33:$AO33)=4),$M33/4,IF(AND(AL33=1,SUM($AJ33:$AO33)=3),$M33/3,IF(AND(AL33=1,SUM($AJ33:$AO33)=2),$M33/2,IF(AND(AL33=1,SUM($AJ33:$AO33)=1),$M33,0))))))</f>
        <v>0</v>
      </c>
      <c r="AS33" s="28" t="n">
        <f aca="false">IF(AND(AM33=1,SUM($AJ33:$AO33)=6),$M33/6,IF(AND(AM33=1,SUM($AJ33:$AO33)=5),$M33/5,IF(AND(AM33=1,SUM($AJ33:$AO33)=4),$M33/4,IF(AND(AM33=1,SUM($AJ33:$AO33)=3),$M33/3,IF(AND(AM33=1,SUM($AJ33:$AO33)=2),$M33/2,IF(AND(AM33=1,SUM($AJ33:$AO33)=1),$M33,0))))))</f>
        <v>0</v>
      </c>
      <c r="AT33" s="28" t="n">
        <f aca="false">IF(AND(AN33=1,SUM($AJ33:$AO33)=6),$M33/6,IF(AND(AN33=1,SUM($AJ33:$AO33)=5),$M33/5,IF(AND(AN33=1,SUM($AJ33:$AO33)=4),$M33/4,IF(AND(AN33=1,SUM($AJ33:$AO33)=3),$M33/3,IF(AND(AN33=1,SUM($AJ33:$AO33)=2),$M33/2,IF(AND(AN33=1,SUM($AJ33:$AO33)=1),$M33,0))))))</f>
        <v>1007500</v>
      </c>
      <c r="AU33" s="28" t="n">
        <f aca="false">IF(AND(AO33=1,SUM($AJ33:$AO33)=6),$M33/6,IF(AND(AO33=1,SUM($AJ33:$AO33)=5),$M33/5,IF(AND(AO33=1,SUM($AJ33:$AO33)=4),$M33/4,IF(AND(AO33=1,SUM($AJ33:$AO33)=3),$M33/3,IF(AND(AO33=1,SUM($AJ33:$AO33)=2),$M33/2,IF(AND(AO33=1,SUM($AJ33:$AO33)=1),$M33,0))))))</f>
        <v>1007500</v>
      </c>
      <c r="AV33" s="29" t="s">
        <v>114</v>
      </c>
      <c r="AW33" s="29"/>
      <c r="AX33" s="29" t="s">
        <v>114</v>
      </c>
      <c r="AY33" s="30"/>
      <c r="AZ33" s="29" t="s">
        <v>117</v>
      </c>
      <c r="BA33" s="30"/>
      <c r="BB33" s="29" t="s">
        <v>116</v>
      </c>
      <c r="BC33" s="29" t="s">
        <v>291</v>
      </c>
      <c r="BD33" s="29" t="s">
        <v>117</v>
      </c>
      <c r="BE33" s="29" t="s">
        <v>292</v>
      </c>
      <c r="BF33" s="29" t="s">
        <v>117</v>
      </c>
      <c r="BG33" s="30" t="s">
        <v>119</v>
      </c>
    </row>
    <row r="34" customFormat="false" ht="242.5" hidden="false" customHeight="false" outlineLevel="0" collapsed="false">
      <c r="A34" s="20" t="n">
        <v>32</v>
      </c>
      <c r="B34" s="20" t="s">
        <v>13</v>
      </c>
      <c r="C34" s="20" t="s">
        <v>293</v>
      </c>
      <c r="D34" s="20" t="s">
        <v>294</v>
      </c>
      <c r="E34" s="20" t="s">
        <v>46</v>
      </c>
      <c r="F34" s="21" t="s">
        <v>4</v>
      </c>
      <c r="G34" s="21" t="s">
        <v>109</v>
      </c>
      <c r="H34" s="21" t="s">
        <v>295</v>
      </c>
      <c r="I34" s="22" t="s">
        <v>111</v>
      </c>
      <c r="J34" s="22" t="s">
        <v>24</v>
      </c>
      <c r="K34" s="23" t="s">
        <v>122</v>
      </c>
      <c r="L34" s="24" t="n">
        <f aca="false">M34*3600</f>
        <v>3655800000</v>
      </c>
      <c r="M34" s="25" t="n">
        <v>1015500</v>
      </c>
      <c r="N34" s="40" t="s">
        <v>296</v>
      </c>
      <c r="O34" s="21" t="s">
        <v>297</v>
      </c>
      <c r="P34" s="21" t="s">
        <v>211</v>
      </c>
      <c r="Q34" s="21" t="s">
        <v>212</v>
      </c>
      <c r="R34" s="26"/>
      <c r="S34" s="26"/>
      <c r="T34" s="26"/>
      <c r="U34" s="26"/>
      <c r="V34" s="26"/>
      <c r="W34" s="26"/>
      <c r="X34" s="26"/>
      <c r="Y34" s="26"/>
      <c r="Z34" s="26"/>
      <c r="AA34" s="27" t="n">
        <v>1</v>
      </c>
      <c r="AB34" s="27" t="n">
        <v>1</v>
      </c>
      <c r="AC34" s="26"/>
      <c r="AD34" s="26"/>
      <c r="AE34" s="26"/>
      <c r="AF34" s="26"/>
      <c r="AG34" s="26"/>
      <c r="AH34" s="26"/>
      <c r="AI34" s="26"/>
      <c r="AJ34" s="22" t="n">
        <f aca="false">IF(SUM(R34:T34)&gt;0,1,0)</f>
        <v>0</v>
      </c>
      <c r="AK34" s="22" t="n">
        <f aca="false">IF(SUM(U34:W34)&gt;0,1,0)</f>
        <v>0</v>
      </c>
      <c r="AL34" s="22" t="n">
        <f aca="false">IF(SUM(X34:Z34)&gt;0,1,0)</f>
        <v>0</v>
      </c>
      <c r="AM34" s="22" t="n">
        <f aca="false">IF(SUM(AA34:AC34)&gt;0,1,0)</f>
        <v>1</v>
      </c>
      <c r="AN34" s="22" t="n">
        <f aca="false">IF(SUM(AD34:AF34)&gt;0,1,0)</f>
        <v>0</v>
      </c>
      <c r="AO34" s="22" t="n">
        <f aca="false">IF(SUM(AG34:AI34)&gt;0,1,0)</f>
        <v>0</v>
      </c>
      <c r="AP34" s="28" t="n">
        <f aca="false">IF(AND(AJ34=1,SUM($AJ34:$AO34)=6),$M34/6,IF(AND(AJ34=1,SUM($AJ34:$AO34)=5),$M34/5,IF(AND(AJ34=1,SUM($AJ34:$AO34)=4),$M34/4,IF(AND(AJ34=1,SUM($AJ34:$AO34)=3),$M34/3,IF(AND(AJ34=1,SUM($AJ34:$AO34)=2),$M34/2,IF(AND(AJ34=1,SUM($AJ34:$AO34)=1),$M34,0))))))</f>
        <v>0</v>
      </c>
      <c r="AQ34" s="28" t="n">
        <f aca="false">IF(AND(AK34=1,SUM($AJ34:$AO34)=6),$M34/6,IF(AND(AK34=1,SUM($AJ34:$AO34)=5),$M34/5,IF(AND(AK34=1,SUM($AJ34:$AO34)=4),$M34/4,IF(AND(AK34=1,SUM($AJ34:$AO34)=3),$M34/3,IF(AND(AK34=1,SUM($AJ34:$AO34)=2),$M34/2,IF(AND(AK34=1,SUM($AJ34:$AO34)=1),$M34,0))))))</f>
        <v>0</v>
      </c>
      <c r="AR34" s="28" t="n">
        <f aca="false">IF(AND(AL34=1,SUM($AJ34:$AO34)=6),$M34/6,IF(AND(AL34=1,SUM($AJ34:$AO34)=5),$M34/5,IF(AND(AL34=1,SUM($AJ34:$AO34)=4),$M34/4,IF(AND(AL34=1,SUM($AJ34:$AO34)=3),$M34/3,IF(AND(AL34=1,SUM($AJ34:$AO34)=2),$M34/2,IF(AND(AL34=1,SUM($AJ34:$AO34)=1),$M34,0))))))</f>
        <v>0</v>
      </c>
      <c r="AS34" s="28" t="n">
        <f aca="false">IF(AND(AM34=1,SUM($AJ34:$AO34)=6),$M34/6,IF(AND(AM34=1,SUM($AJ34:$AO34)=5),$M34/5,IF(AND(AM34=1,SUM($AJ34:$AO34)=4),$M34/4,IF(AND(AM34=1,SUM($AJ34:$AO34)=3),$M34/3,IF(AND(AM34=1,SUM($AJ34:$AO34)=2),$M34/2,IF(AND(AM34=1,SUM($AJ34:$AO34)=1),$M34,0))))))</f>
        <v>1015500</v>
      </c>
      <c r="AT34" s="28" t="n">
        <f aca="false">IF(AND(AN34=1,SUM($AJ34:$AO34)=6),$M34/6,IF(AND(AN34=1,SUM($AJ34:$AO34)=5),$M34/5,IF(AND(AN34=1,SUM($AJ34:$AO34)=4),$M34/4,IF(AND(AN34=1,SUM($AJ34:$AO34)=3),$M34/3,IF(AND(AN34=1,SUM($AJ34:$AO34)=2),$M34/2,IF(AND(AN34=1,SUM($AJ34:$AO34)=1),$M34,0))))))</f>
        <v>0</v>
      </c>
      <c r="AU34" s="28" t="n">
        <f aca="false">IF(AND(AO34=1,SUM($AJ34:$AO34)=6),$M34/6,IF(AND(AO34=1,SUM($AJ34:$AO34)=5),$M34/5,IF(AND(AO34=1,SUM($AJ34:$AO34)=4),$M34/4,IF(AND(AO34=1,SUM($AJ34:$AO34)=3),$M34/3,IF(AND(AO34=1,SUM($AJ34:$AO34)=2),$M34/2,IF(AND(AO34=1,SUM($AJ34:$AO34)=1),$M34,0))))))</f>
        <v>0</v>
      </c>
      <c r="AV34" s="29" t="s">
        <v>114</v>
      </c>
      <c r="AW34" s="30"/>
      <c r="AX34" s="29" t="s">
        <v>114</v>
      </c>
      <c r="AY34" s="30"/>
      <c r="AZ34" s="29" t="s">
        <v>117</v>
      </c>
      <c r="BA34" s="30"/>
      <c r="BB34" s="29" t="s">
        <v>116</v>
      </c>
      <c r="BC34" s="29" t="s">
        <v>161</v>
      </c>
      <c r="BD34" s="29" t="s">
        <v>117</v>
      </c>
      <c r="BE34" s="29" t="s">
        <v>298</v>
      </c>
      <c r="BF34" s="29" t="s">
        <v>117</v>
      </c>
      <c r="BG34" s="30" t="s">
        <v>119</v>
      </c>
    </row>
    <row r="35" customFormat="false" ht="39.55" hidden="false" customHeight="false" outlineLevel="0" collapsed="false">
      <c r="A35" s="20" t="n">
        <v>33</v>
      </c>
      <c r="B35" s="20" t="s">
        <v>13</v>
      </c>
      <c r="C35" s="20" t="s">
        <v>293</v>
      </c>
      <c r="D35" s="20" t="s">
        <v>299</v>
      </c>
      <c r="E35" s="20" t="s">
        <v>46</v>
      </c>
      <c r="F35" s="20" t="s">
        <v>4</v>
      </c>
      <c r="G35" s="20" t="s">
        <v>148</v>
      </c>
      <c r="H35" s="20" t="s">
        <v>300</v>
      </c>
      <c r="I35" s="23" t="s">
        <v>111</v>
      </c>
      <c r="J35" s="23" t="s">
        <v>24</v>
      </c>
      <c r="K35" s="23" t="s">
        <v>130</v>
      </c>
      <c r="L35" s="24" t="n">
        <f aca="false">M35*3600</f>
        <v>3657600000</v>
      </c>
      <c r="M35" s="25" t="n">
        <v>1016000</v>
      </c>
      <c r="N35" s="20"/>
      <c r="O35" s="20" t="s">
        <v>301</v>
      </c>
      <c r="P35" s="20" t="s">
        <v>302</v>
      </c>
      <c r="Q35" s="21" t="s">
        <v>212</v>
      </c>
      <c r="R35" s="39"/>
      <c r="S35" s="39"/>
      <c r="T35" s="39"/>
      <c r="U35" s="39"/>
      <c r="V35" s="39"/>
      <c r="W35" s="39"/>
      <c r="X35" s="39"/>
      <c r="Y35" s="39"/>
      <c r="Z35" s="39"/>
      <c r="AA35" s="27" t="n">
        <v>1</v>
      </c>
      <c r="AB35" s="27" t="n">
        <v>1</v>
      </c>
      <c r="AC35" s="27" t="n">
        <v>1</v>
      </c>
      <c r="AD35" s="39"/>
      <c r="AE35" s="39"/>
      <c r="AF35" s="39"/>
      <c r="AG35" s="39"/>
      <c r="AH35" s="39"/>
      <c r="AI35" s="39"/>
      <c r="AJ35" s="22" t="n">
        <f aca="false">IF(SUM(R35:T35)&gt;0,1,0)</f>
        <v>0</v>
      </c>
      <c r="AK35" s="22" t="n">
        <f aca="false">IF(SUM(U35:W35)&gt;0,1,0)</f>
        <v>0</v>
      </c>
      <c r="AL35" s="22" t="n">
        <f aca="false">IF(SUM(X35:Z35)&gt;0,1,0)</f>
        <v>0</v>
      </c>
      <c r="AM35" s="22" t="n">
        <f aca="false">IF(SUM(AA35:AC35)&gt;0,1,0)</f>
        <v>1</v>
      </c>
      <c r="AN35" s="22" t="n">
        <f aca="false">IF(SUM(AD35:AF35)&gt;0,1,0)</f>
        <v>0</v>
      </c>
      <c r="AO35" s="22" t="n">
        <f aca="false">IF(SUM(AG35:AI35)&gt;0,1,0)</f>
        <v>0</v>
      </c>
      <c r="AP35" s="28" t="n">
        <f aca="false">IF(AND(AJ35=1,SUM($AJ35:$AO35)=6),$M35/6,IF(AND(AJ35=1,SUM($AJ35:$AO35)=5),$M35/5,IF(AND(AJ35=1,SUM($AJ35:$AO35)=4),$M35/4,IF(AND(AJ35=1,SUM($AJ35:$AO35)=3),$M35/3,IF(AND(AJ35=1,SUM($AJ35:$AO35)=2),$M35/2,IF(AND(AJ35=1,SUM($AJ35:$AO35)=1),$M35,0))))))</f>
        <v>0</v>
      </c>
      <c r="AQ35" s="28" t="n">
        <f aca="false">IF(AND(AK35=1,SUM($AJ35:$AO35)=6),$M35/6,IF(AND(AK35=1,SUM($AJ35:$AO35)=5),$M35/5,IF(AND(AK35=1,SUM($AJ35:$AO35)=4),$M35/4,IF(AND(AK35=1,SUM($AJ35:$AO35)=3),$M35/3,IF(AND(AK35=1,SUM($AJ35:$AO35)=2),$M35/2,IF(AND(AK35=1,SUM($AJ35:$AO35)=1),$M35,0))))))</f>
        <v>0</v>
      </c>
      <c r="AR35" s="28" t="n">
        <f aca="false">IF(AND(AL35=1,SUM($AJ35:$AO35)=6),$M35/6,IF(AND(AL35=1,SUM($AJ35:$AO35)=5),$M35/5,IF(AND(AL35=1,SUM($AJ35:$AO35)=4),$M35/4,IF(AND(AL35=1,SUM($AJ35:$AO35)=3),$M35/3,IF(AND(AL35=1,SUM($AJ35:$AO35)=2),$M35/2,IF(AND(AL35=1,SUM($AJ35:$AO35)=1),$M35,0))))))</f>
        <v>0</v>
      </c>
      <c r="AS35" s="28" t="n">
        <f aca="false">IF(AND(AM35=1,SUM($AJ35:$AO35)=6),$M35/6,IF(AND(AM35=1,SUM($AJ35:$AO35)=5),$M35/5,IF(AND(AM35=1,SUM($AJ35:$AO35)=4),$M35/4,IF(AND(AM35=1,SUM($AJ35:$AO35)=3),$M35/3,IF(AND(AM35=1,SUM($AJ35:$AO35)=2),$M35/2,IF(AND(AM35=1,SUM($AJ35:$AO35)=1),$M35,0))))))</f>
        <v>1016000</v>
      </c>
      <c r="AT35" s="28" t="n">
        <f aca="false">IF(AND(AN35=1,SUM($AJ35:$AO35)=6),$M35/6,IF(AND(AN35=1,SUM($AJ35:$AO35)=5),$M35/5,IF(AND(AN35=1,SUM($AJ35:$AO35)=4),$M35/4,IF(AND(AN35=1,SUM($AJ35:$AO35)=3),$M35/3,IF(AND(AN35=1,SUM($AJ35:$AO35)=2),$M35/2,IF(AND(AN35=1,SUM($AJ35:$AO35)=1),$M35,0))))))</f>
        <v>0</v>
      </c>
      <c r="AU35" s="28" t="n">
        <f aca="false">IF(AND(AO35=1,SUM($AJ35:$AO35)=6),$M35/6,IF(AND(AO35=1,SUM($AJ35:$AO35)=5),$M35/5,IF(AND(AO35=1,SUM($AJ35:$AO35)=4),$M35/4,IF(AND(AO35=1,SUM($AJ35:$AO35)=3),$M35/3,IF(AND(AO35=1,SUM($AJ35:$AO35)=2),$M35/2,IF(AND(AO35=1,SUM($AJ35:$AO35)=1),$M35,0))))))</f>
        <v>0</v>
      </c>
      <c r="AV35" s="29" t="s">
        <v>114</v>
      </c>
      <c r="AW35" s="41"/>
      <c r="AX35" s="29" t="s">
        <v>114</v>
      </c>
      <c r="AY35" s="42"/>
      <c r="AZ35" s="29" t="s">
        <v>117</v>
      </c>
      <c r="BA35" s="42"/>
      <c r="BB35" s="29" t="s">
        <v>116</v>
      </c>
      <c r="BC35" s="29" t="s">
        <v>166</v>
      </c>
      <c r="BD35" s="29" t="s">
        <v>117</v>
      </c>
      <c r="BE35" s="29" t="s">
        <v>303</v>
      </c>
      <c r="BF35" s="29" t="s">
        <v>116</v>
      </c>
      <c r="BG35" s="30" t="s">
        <v>119</v>
      </c>
    </row>
    <row r="36" customFormat="false" ht="39.55" hidden="false" customHeight="false" outlineLevel="0" collapsed="false">
      <c r="A36" s="20" t="n">
        <v>34</v>
      </c>
      <c r="B36" s="20" t="s">
        <v>13</v>
      </c>
      <c r="C36" s="20" t="s">
        <v>107</v>
      </c>
      <c r="D36" s="20" t="s">
        <v>304</v>
      </c>
      <c r="E36" s="20" t="s">
        <v>46</v>
      </c>
      <c r="F36" s="21" t="s">
        <v>4</v>
      </c>
      <c r="G36" s="21" t="s">
        <v>109</v>
      </c>
      <c r="H36" s="34" t="s">
        <v>305</v>
      </c>
      <c r="I36" s="22" t="s">
        <v>111</v>
      </c>
      <c r="J36" s="22" t="s">
        <v>24</v>
      </c>
      <c r="K36" s="23" t="s">
        <v>16</v>
      </c>
      <c r="L36" s="24" t="n">
        <f aca="false">M36*3600</f>
        <v>3659400000</v>
      </c>
      <c r="M36" s="25" t="n">
        <v>1016500</v>
      </c>
      <c r="N36" s="21" t="s">
        <v>306</v>
      </c>
      <c r="O36" s="21" t="s">
        <v>307</v>
      </c>
      <c r="P36" s="21" t="s">
        <v>308</v>
      </c>
      <c r="Q36" s="21" t="s">
        <v>309</v>
      </c>
      <c r="R36" s="26"/>
      <c r="S36" s="26"/>
      <c r="T36" s="26"/>
      <c r="U36" s="26"/>
      <c r="V36" s="26"/>
      <c r="W36" s="26"/>
      <c r="X36" s="26"/>
      <c r="Y36" s="27" t="n">
        <v>1</v>
      </c>
      <c r="Z36" s="27" t="n">
        <v>1</v>
      </c>
      <c r="AA36" s="27" t="n">
        <v>1</v>
      </c>
      <c r="AB36" s="26"/>
      <c r="AC36" s="26"/>
      <c r="AD36" s="26"/>
      <c r="AE36" s="26"/>
      <c r="AF36" s="26"/>
      <c r="AG36" s="26"/>
      <c r="AH36" s="26"/>
      <c r="AI36" s="26"/>
      <c r="AJ36" s="22" t="n">
        <f aca="false">IF(SUM(R36:T36)&gt;0,1,0)</f>
        <v>0</v>
      </c>
      <c r="AK36" s="22" t="n">
        <f aca="false">IF(SUM(U36:W36)&gt;0,1,0)</f>
        <v>0</v>
      </c>
      <c r="AL36" s="22" t="n">
        <f aca="false">IF(SUM(X36:Z36)&gt;0,1,0)</f>
        <v>1</v>
      </c>
      <c r="AM36" s="22" t="n">
        <f aca="false">IF(SUM(AA36:AC36)&gt;0,1,0)</f>
        <v>1</v>
      </c>
      <c r="AN36" s="22" t="n">
        <f aca="false">IF(SUM(AD36:AF36)&gt;0,1,0)</f>
        <v>0</v>
      </c>
      <c r="AO36" s="22" t="n">
        <f aca="false">IF(SUM(AG36:AI36)&gt;0,1,0)</f>
        <v>0</v>
      </c>
      <c r="AP36" s="28" t="n">
        <f aca="false">IF(AND(AJ36=1,SUM($AJ36:$AO36)=6),$M36/6,IF(AND(AJ36=1,SUM($AJ36:$AO36)=5),$M36/5,IF(AND(AJ36=1,SUM($AJ36:$AO36)=4),$M36/4,IF(AND(AJ36=1,SUM($AJ36:$AO36)=3),$M36/3,IF(AND(AJ36=1,SUM($AJ36:$AO36)=2),$M36/2,IF(AND(AJ36=1,SUM($AJ36:$AO36)=1),$M36,0))))))</f>
        <v>0</v>
      </c>
      <c r="AQ36" s="28" t="n">
        <f aca="false">IF(AND(AK36=1,SUM($AJ36:$AO36)=6),$M36/6,IF(AND(AK36=1,SUM($AJ36:$AO36)=5),$M36/5,IF(AND(AK36=1,SUM($AJ36:$AO36)=4),$M36/4,IF(AND(AK36=1,SUM($AJ36:$AO36)=3),$M36/3,IF(AND(AK36=1,SUM($AJ36:$AO36)=2),$M36/2,IF(AND(AK36=1,SUM($AJ36:$AO36)=1),$M36,0))))))</f>
        <v>0</v>
      </c>
      <c r="AR36" s="28" t="n">
        <f aca="false">IF(AND(AL36=1,SUM($AJ36:$AO36)=6),$M36/6,IF(AND(AL36=1,SUM($AJ36:$AO36)=5),$M36/5,IF(AND(AL36=1,SUM($AJ36:$AO36)=4),$M36/4,IF(AND(AL36=1,SUM($AJ36:$AO36)=3),$M36/3,IF(AND(AL36=1,SUM($AJ36:$AO36)=2),$M36/2,IF(AND(AL36=1,SUM($AJ36:$AO36)=1),$M36,0))))))</f>
        <v>508250</v>
      </c>
      <c r="AS36" s="28" t="n">
        <f aca="false">IF(AND(AM36=1,SUM($AJ36:$AO36)=6),$M36/6,IF(AND(AM36=1,SUM($AJ36:$AO36)=5),$M36/5,IF(AND(AM36=1,SUM($AJ36:$AO36)=4),$M36/4,IF(AND(AM36=1,SUM($AJ36:$AO36)=3),$M36/3,IF(AND(AM36=1,SUM($AJ36:$AO36)=2),$M36/2,IF(AND(AM36=1,SUM($AJ36:$AO36)=1),$M36,0))))))</f>
        <v>508250</v>
      </c>
      <c r="AT36" s="28" t="n">
        <f aca="false">IF(AND(AN36=1,SUM($AJ36:$AO36)=6),$M36/6,IF(AND(AN36=1,SUM($AJ36:$AO36)=5),$M36/5,IF(AND(AN36=1,SUM($AJ36:$AO36)=4),$M36/4,IF(AND(AN36=1,SUM($AJ36:$AO36)=3),$M36/3,IF(AND(AN36=1,SUM($AJ36:$AO36)=2),$M36/2,IF(AND(AN36=1,SUM($AJ36:$AO36)=1),$M36,0))))))</f>
        <v>0</v>
      </c>
      <c r="AU36" s="28" t="n">
        <f aca="false">IF(AND(AO36=1,SUM($AJ36:$AO36)=6),$M36/6,IF(AND(AO36=1,SUM($AJ36:$AO36)=5),$M36/5,IF(AND(AO36=1,SUM($AJ36:$AO36)=4),$M36/4,IF(AND(AO36=1,SUM($AJ36:$AO36)=3),$M36/3,IF(AND(AO36=1,SUM($AJ36:$AO36)=2),$M36/2,IF(AND(AO36=1,SUM($AJ36:$AO36)=1),$M36,0))))))</f>
        <v>0</v>
      </c>
      <c r="AV36" s="29" t="s">
        <v>116</v>
      </c>
      <c r="AW36" s="29"/>
      <c r="AX36" s="29" t="s">
        <v>114</v>
      </c>
      <c r="AY36" s="30"/>
      <c r="AZ36" s="29" t="s">
        <v>114</v>
      </c>
      <c r="BA36" s="30"/>
      <c r="BB36" s="29" t="s">
        <v>116</v>
      </c>
      <c r="BC36" s="29" t="s">
        <v>171</v>
      </c>
      <c r="BD36" s="29" t="s">
        <v>117</v>
      </c>
      <c r="BE36" s="29" t="s">
        <v>310</v>
      </c>
      <c r="BF36" s="29" t="s">
        <v>116</v>
      </c>
      <c r="BG36" s="30" t="s">
        <v>119</v>
      </c>
    </row>
    <row r="37" customFormat="false" ht="39.55" hidden="false" customHeight="false" outlineLevel="0" collapsed="false">
      <c r="A37" s="20" t="n">
        <v>35</v>
      </c>
      <c r="B37" s="20" t="s">
        <v>13</v>
      </c>
      <c r="C37" s="20" t="s">
        <v>107</v>
      </c>
      <c r="D37" s="20" t="s">
        <v>311</v>
      </c>
      <c r="E37" s="20" t="s">
        <v>46</v>
      </c>
      <c r="F37" s="21" t="s">
        <v>4</v>
      </c>
      <c r="G37" s="21" t="s">
        <v>109</v>
      </c>
      <c r="H37" s="21" t="s">
        <v>202</v>
      </c>
      <c r="I37" s="22" t="s">
        <v>111</v>
      </c>
      <c r="J37" s="22" t="s">
        <v>24</v>
      </c>
      <c r="K37" s="23" t="s">
        <v>122</v>
      </c>
      <c r="L37" s="24" t="n">
        <f aca="false">M37*3600</f>
        <v>3661200000</v>
      </c>
      <c r="M37" s="25" t="n">
        <v>1017000</v>
      </c>
      <c r="N37" s="21" t="s">
        <v>312</v>
      </c>
      <c r="O37" s="21" t="s">
        <v>313</v>
      </c>
      <c r="P37" s="21" t="s">
        <v>308</v>
      </c>
      <c r="Q37" s="21" t="s">
        <v>309</v>
      </c>
      <c r="R37" s="27" t="n">
        <v>1</v>
      </c>
      <c r="S37" s="27" t="n">
        <v>1</v>
      </c>
      <c r="T37" s="27" t="n">
        <v>1</v>
      </c>
      <c r="U37" s="27" t="n">
        <v>1</v>
      </c>
      <c r="V37" s="27" t="n">
        <v>1</v>
      </c>
      <c r="W37" s="27" t="n">
        <v>1</v>
      </c>
      <c r="X37" s="27" t="n">
        <v>1</v>
      </c>
      <c r="Y37" s="27" t="n">
        <v>1</v>
      </c>
      <c r="Z37" s="27" t="n">
        <v>1</v>
      </c>
      <c r="AA37" s="27" t="n">
        <v>1</v>
      </c>
      <c r="AB37" s="27" t="n">
        <v>1</v>
      </c>
      <c r="AC37" s="27" t="n">
        <v>1</v>
      </c>
      <c r="AD37" s="27" t="n">
        <v>1</v>
      </c>
      <c r="AE37" s="27" t="n">
        <v>1</v>
      </c>
      <c r="AF37" s="27" t="n">
        <v>1</v>
      </c>
      <c r="AG37" s="27" t="n">
        <v>1</v>
      </c>
      <c r="AH37" s="27" t="n">
        <v>1</v>
      </c>
      <c r="AI37" s="27" t="n">
        <v>1</v>
      </c>
      <c r="AJ37" s="22" t="n">
        <f aca="false">IF(SUM(R37:T37)&gt;0,1,0)</f>
        <v>1</v>
      </c>
      <c r="AK37" s="22" t="n">
        <f aca="false">IF(SUM(U37:W37)&gt;0,1,0)</f>
        <v>1</v>
      </c>
      <c r="AL37" s="22" t="n">
        <f aca="false">IF(SUM(X37:Z37)&gt;0,1,0)</f>
        <v>1</v>
      </c>
      <c r="AM37" s="22" t="n">
        <f aca="false">IF(SUM(AA37:AC37)&gt;0,1,0)</f>
        <v>1</v>
      </c>
      <c r="AN37" s="22" t="n">
        <f aca="false">IF(SUM(AD37:AF37)&gt;0,1,0)</f>
        <v>1</v>
      </c>
      <c r="AO37" s="22" t="n">
        <f aca="false">IF(SUM(AG37:AI37)&gt;0,1,0)</f>
        <v>1</v>
      </c>
      <c r="AP37" s="28" t="n">
        <f aca="false">IF(AND(AJ37=1,SUM($AJ37:$AO37)=6),$M37/6,IF(AND(AJ37=1,SUM($AJ37:$AO37)=5),$M37/5,IF(AND(AJ37=1,SUM($AJ37:$AO37)=4),$M37/4,IF(AND(AJ37=1,SUM($AJ37:$AO37)=3),$M37/3,IF(AND(AJ37=1,SUM($AJ37:$AO37)=2),$M37/2,IF(AND(AJ37=1,SUM($AJ37:$AO37)=1),$M37,0))))))</f>
        <v>169500</v>
      </c>
      <c r="AQ37" s="28" t="n">
        <f aca="false">IF(AND(AK37=1,SUM($AJ37:$AO37)=6),$M37/6,IF(AND(AK37=1,SUM($AJ37:$AO37)=5),$M37/5,IF(AND(AK37=1,SUM($AJ37:$AO37)=4),$M37/4,IF(AND(AK37=1,SUM($AJ37:$AO37)=3),$M37/3,IF(AND(AK37=1,SUM($AJ37:$AO37)=2),$M37/2,IF(AND(AK37=1,SUM($AJ37:$AO37)=1),$M37,0))))))</f>
        <v>169500</v>
      </c>
      <c r="AR37" s="28" t="n">
        <f aca="false">IF(AND(AL37=1,SUM($AJ37:$AO37)=6),$M37/6,IF(AND(AL37=1,SUM($AJ37:$AO37)=5),$M37/5,IF(AND(AL37=1,SUM($AJ37:$AO37)=4),$M37/4,IF(AND(AL37=1,SUM($AJ37:$AO37)=3),$M37/3,IF(AND(AL37=1,SUM($AJ37:$AO37)=2),$M37/2,IF(AND(AL37=1,SUM($AJ37:$AO37)=1),$M37,0))))))</f>
        <v>169500</v>
      </c>
      <c r="AS37" s="28" t="n">
        <f aca="false">IF(AND(AM37=1,SUM($AJ37:$AO37)=6),$M37/6,IF(AND(AM37=1,SUM($AJ37:$AO37)=5),$M37/5,IF(AND(AM37=1,SUM($AJ37:$AO37)=4),$M37/4,IF(AND(AM37=1,SUM($AJ37:$AO37)=3),$M37/3,IF(AND(AM37=1,SUM($AJ37:$AO37)=2),$M37/2,IF(AND(AM37=1,SUM($AJ37:$AO37)=1),$M37,0))))))</f>
        <v>169500</v>
      </c>
      <c r="AT37" s="28" t="n">
        <f aca="false">IF(AND(AN37=1,SUM($AJ37:$AO37)=6),$M37/6,IF(AND(AN37=1,SUM($AJ37:$AO37)=5),$M37/5,IF(AND(AN37=1,SUM($AJ37:$AO37)=4),$M37/4,IF(AND(AN37=1,SUM($AJ37:$AO37)=3),$M37/3,IF(AND(AN37=1,SUM($AJ37:$AO37)=2),$M37/2,IF(AND(AN37=1,SUM($AJ37:$AO37)=1),$M37,0))))))</f>
        <v>169500</v>
      </c>
      <c r="AU37" s="28" t="n">
        <f aca="false">IF(AND(AO37=1,SUM($AJ37:$AO37)=6),$M37/6,IF(AND(AO37=1,SUM($AJ37:$AO37)=5),$M37/5,IF(AND(AO37=1,SUM($AJ37:$AO37)=4),$M37/4,IF(AND(AO37=1,SUM($AJ37:$AO37)=3),$M37/3,IF(AND(AO37=1,SUM($AJ37:$AO37)=2),$M37/2,IF(AND(AO37=1,SUM($AJ37:$AO37)=1),$M37,0))))))</f>
        <v>169500</v>
      </c>
      <c r="AV37" s="29" t="s">
        <v>116</v>
      </c>
      <c r="AW37" s="29"/>
      <c r="AX37" s="29" t="s">
        <v>114</v>
      </c>
      <c r="AY37" s="30"/>
      <c r="AZ37" s="29" t="s">
        <v>114</v>
      </c>
      <c r="BA37" s="30" t="s">
        <v>314</v>
      </c>
      <c r="BB37" s="29" t="s">
        <v>114</v>
      </c>
      <c r="BC37" s="29" t="s">
        <v>176</v>
      </c>
      <c r="BD37" s="29" t="s">
        <v>117</v>
      </c>
      <c r="BE37" s="29" t="s">
        <v>315</v>
      </c>
      <c r="BF37" s="29" t="s">
        <v>116</v>
      </c>
      <c r="BG37" s="30" t="s">
        <v>119</v>
      </c>
    </row>
    <row r="38" customFormat="false" ht="204.45" hidden="false" customHeight="false" outlineLevel="0" collapsed="false">
      <c r="A38" s="20" t="n">
        <v>36</v>
      </c>
      <c r="B38" s="20" t="s">
        <v>13</v>
      </c>
      <c r="C38" s="20" t="s">
        <v>107</v>
      </c>
      <c r="D38" s="20" t="s">
        <v>316</v>
      </c>
      <c r="E38" s="20" t="s">
        <v>46</v>
      </c>
      <c r="F38" s="21" t="s">
        <v>4</v>
      </c>
      <c r="G38" s="21" t="s">
        <v>109</v>
      </c>
      <c r="H38" s="34" t="s">
        <v>317</v>
      </c>
      <c r="I38" s="22" t="s">
        <v>111</v>
      </c>
      <c r="J38" s="22" t="s">
        <v>24</v>
      </c>
      <c r="K38" s="23" t="s">
        <v>130</v>
      </c>
      <c r="L38" s="24" t="n">
        <f aca="false">M38*3600</f>
        <v>3663000000</v>
      </c>
      <c r="M38" s="25" t="n">
        <v>1017500</v>
      </c>
      <c r="N38" s="21" t="s">
        <v>318</v>
      </c>
      <c r="O38" s="21" t="s">
        <v>218</v>
      </c>
      <c r="P38" s="21" t="s">
        <v>302</v>
      </c>
      <c r="Q38" s="21" t="s">
        <v>309</v>
      </c>
      <c r="R38" s="26"/>
      <c r="S38" s="26"/>
      <c r="T38" s="26"/>
      <c r="U38" s="26"/>
      <c r="V38" s="26"/>
      <c r="W38" s="26"/>
      <c r="X38" s="27" t="n">
        <v>1</v>
      </c>
      <c r="Y38" s="27" t="n">
        <v>1</v>
      </c>
      <c r="Z38" s="27" t="n">
        <v>1</v>
      </c>
      <c r="AA38" s="26"/>
      <c r="AB38" s="26"/>
      <c r="AC38" s="26"/>
      <c r="AD38" s="26"/>
      <c r="AE38" s="26"/>
      <c r="AF38" s="26"/>
      <c r="AG38" s="26"/>
      <c r="AH38" s="26"/>
      <c r="AI38" s="26"/>
      <c r="AJ38" s="22" t="n">
        <f aca="false">IF(SUM(R38:T38)&gt;0,1,0)</f>
        <v>0</v>
      </c>
      <c r="AK38" s="22" t="n">
        <f aca="false">IF(SUM(U38:W38)&gt;0,1,0)</f>
        <v>0</v>
      </c>
      <c r="AL38" s="22" t="n">
        <f aca="false">IF(SUM(X38:Z38)&gt;0,1,0)</f>
        <v>1</v>
      </c>
      <c r="AM38" s="22" t="n">
        <f aca="false">IF(SUM(AA38:AC38)&gt;0,1,0)</f>
        <v>0</v>
      </c>
      <c r="AN38" s="22" t="n">
        <f aca="false">IF(SUM(AD38:AF38)&gt;0,1,0)</f>
        <v>0</v>
      </c>
      <c r="AO38" s="22" t="n">
        <f aca="false">IF(SUM(AG38:AI38)&gt;0,1,0)</f>
        <v>0</v>
      </c>
      <c r="AP38" s="28" t="n">
        <f aca="false">IF(AND(AJ38=1,SUM($AJ38:$AO38)=6),$M38/6,IF(AND(AJ38=1,SUM($AJ38:$AO38)=5),$M38/5,IF(AND(AJ38=1,SUM($AJ38:$AO38)=4),$M38/4,IF(AND(AJ38=1,SUM($AJ38:$AO38)=3),$M38/3,IF(AND(AJ38=1,SUM($AJ38:$AO38)=2),$M38/2,IF(AND(AJ38=1,SUM($AJ38:$AO38)=1),$M38,0))))))</f>
        <v>0</v>
      </c>
      <c r="AQ38" s="28" t="n">
        <f aca="false">IF(AND(AK38=1,SUM($AJ38:$AO38)=6),$M38/6,IF(AND(AK38=1,SUM($AJ38:$AO38)=5),$M38/5,IF(AND(AK38=1,SUM($AJ38:$AO38)=4),$M38/4,IF(AND(AK38=1,SUM($AJ38:$AO38)=3),$M38/3,IF(AND(AK38=1,SUM($AJ38:$AO38)=2),$M38/2,IF(AND(AK38=1,SUM($AJ38:$AO38)=1),$M38,0))))))</f>
        <v>0</v>
      </c>
      <c r="AR38" s="28" t="n">
        <f aca="false">IF(AND(AL38=1,SUM($AJ38:$AO38)=6),$M38/6,IF(AND(AL38=1,SUM($AJ38:$AO38)=5),$M38/5,IF(AND(AL38=1,SUM($AJ38:$AO38)=4),$M38/4,IF(AND(AL38=1,SUM($AJ38:$AO38)=3),$M38/3,IF(AND(AL38=1,SUM($AJ38:$AO38)=2),$M38/2,IF(AND(AL38=1,SUM($AJ38:$AO38)=1),$M38,0))))))</f>
        <v>1017500</v>
      </c>
      <c r="AS38" s="28" t="n">
        <f aca="false">IF(AND(AM38=1,SUM($AJ38:$AO38)=6),$M38/6,IF(AND(AM38=1,SUM($AJ38:$AO38)=5),$M38/5,IF(AND(AM38=1,SUM($AJ38:$AO38)=4),$M38/4,IF(AND(AM38=1,SUM($AJ38:$AO38)=3),$M38/3,IF(AND(AM38=1,SUM($AJ38:$AO38)=2),$M38/2,IF(AND(AM38=1,SUM($AJ38:$AO38)=1),$M38,0))))))</f>
        <v>0</v>
      </c>
      <c r="AT38" s="28" t="n">
        <f aca="false">IF(AND(AN38=1,SUM($AJ38:$AO38)=6),$M38/6,IF(AND(AN38=1,SUM($AJ38:$AO38)=5),$M38/5,IF(AND(AN38=1,SUM($AJ38:$AO38)=4),$M38/4,IF(AND(AN38=1,SUM($AJ38:$AO38)=3),$M38/3,IF(AND(AN38=1,SUM($AJ38:$AO38)=2),$M38/2,IF(AND(AN38=1,SUM($AJ38:$AO38)=1),$M38,0))))))</f>
        <v>0</v>
      </c>
      <c r="AU38" s="28" t="n">
        <f aca="false">IF(AND(AO38=1,SUM($AJ38:$AO38)=6),$M38/6,IF(AND(AO38=1,SUM($AJ38:$AO38)=5),$M38/5,IF(AND(AO38=1,SUM($AJ38:$AO38)=4),$M38/4,IF(AND(AO38=1,SUM($AJ38:$AO38)=3),$M38/3,IF(AND(AO38=1,SUM($AJ38:$AO38)=2),$M38/2,IF(AND(AO38=1,SUM($AJ38:$AO38)=1),$M38,0))))))</f>
        <v>0</v>
      </c>
      <c r="AV38" s="29" t="s">
        <v>116</v>
      </c>
      <c r="AW38" s="29"/>
      <c r="AX38" s="29" t="s">
        <v>114</v>
      </c>
      <c r="AY38" s="30"/>
      <c r="AZ38" s="29" t="s">
        <v>114</v>
      </c>
      <c r="BA38" s="30" t="s">
        <v>319</v>
      </c>
      <c r="BB38" s="29" t="s">
        <v>114</v>
      </c>
      <c r="BC38" s="29" t="s">
        <v>181</v>
      </c>
      <c r="BD38" s="29" t="s">
        <v>117</v>
      </c>
      <c r="BE38" s="29" t="s">
        <v>320</v>
      </c>
      <c r="BF38" s="29" t="s">
        <v>114</v>
      </c>
      <c r="BG38" s="30" t="s">
        <v>119</v>
      </c>
    </row>
    <row r="39" customFormat="false" ht="64.9" hidden="false" customHeight="false" outlineLevel="0" collapsed="false">
      <c r="A39" s="20" t="n">
        <v>37</v>
      </c>
      <c r="B39" s="20" t="s">
        <v>15</v>
      </c>
      <c r="C39" s="20" t="s">
        <v>293</v>
      </c>
      <c r="D39" s="20" t="s">
        <v>321</v>
      </c>
      <c r="E39" s="20" t="s">
        <v>46</v>
      </c>
      <c r="F39" s="21" t="s">
        <v>4</v>
      </c>
      <c r="G39" s="21" t="s">
        <v>109</v>
      </c>
      <c r="H39" s="21" t="s">
        <v>322</v>
      </c>
      <c r="I39" s="22" t="s">
        <v>111</v>
      </c>
      <c r="J39" s="22" t="s">
        <v>12</v>
      </c>
      <c r="K39" s="23" t="s">
        <v>16</v>
      </c>
      <c r="L39" s="24" t="n">
        <f aca="false">M39*3600</f>
        <v>3664800000</v>
      </c>
      <c r="M39" s="25" t="n">
        <v>1018000</v>
      </c>
      <c r="N39" s="21" t="s">
        <v>323</v>
      </c>
      <c r="O39" s="21" t="s">
        <v>324</v>
      </c>
      <c r="P39" s="21" t="s">
        <v>325</v>
      </c>
      <c r="Q39" s="21" t="s">
        <v>326</v>
      </c>
      <c r="R39" s="26"/>
      <c r="S39" s="26"/>
      <c r="T39" s="26"/>
      <c r="U39" s="26"/>
      <c r="V39" s="26"/>
      <c r="W39" s="27" t="n">
        <v>1</v>
      </c>
      <c r="X39" s="27" t="n">
        <v>1</v>
      </c>
      <c r="Y39" s="27" t="n">
        <v>1</v>
      </c>
      <c r="Z39" s="27" t="n">
        <v>1</v>
      </c>
      <c r="AA39" s="27" t="n">
        <v>1</v>
      </c>
      <c r="AB39" s="26"/>
      <c r="AC39" s="26"/>
      <c r="AD39" s="26"/>
      <c r="AE39" s="26"/>
      <c r="AF39" s="26"/>
      <c r="AG39" s="26"/>
      <c r="AH39" s="26"/>
      <c r="AI39" s="26"/>
      <c r="AJ39" s="22" t="n">
        <f aca="false">IF(SUM(R39:T39)&gt;0,1,0)</f>
        <v>0</v>
      </c>
      <c r="AK39" s="22" t="n">
        <f aca="false">IF(SUM(U39:W39)&gt;0,1,0)</f>
        <v>1</v>
      </c>
      <c r="AL39" s="22" t="n">
        <f aca="false">IF(SUM(X39:Z39)&gt;0,1,0)</f>
        <v>1</v>
      </c>
      <c r="AM39" s="22" t="n">
        <f aca="false">IF(SUM(AA39:AC39)&gt;0,1,0)</f>
        <v>1</v>
      </c>
      <c r="AN39" s="22" t="n">
        <f aca="false">IF(SUM(AD39:AF39)&gt;0,1,0)</f>
        <v>0</v>
      </c>
      <c r="AO39" s="22" t="n">
        <f aca="false">IF(SUM(AG39:AI39)&gt;0,1,0)</f>
        <v>0</v>
      </c>
      <c r="AP39" s="28" t="n">
        <f aca="false">IF(AND(AJ39=1,SUM($AJ39:$AO39)=6),$M39/6,IF(AND(AJ39=1,SUM($AJ39:$AO39)=5),$M39/5,IF(AND(AJ39=1,SUM($AJ39:$AO39)=4),$M39/4,IF(AND(AJ39=1,SUM($AJ39:$AO39)=3),$M39/3,IF(AND(AJ39=1,SUM($AJ39:$AO39)=2),$M39/2,IF(AND(AJ39=1,SUM($AJ39:$AO39)=1),$M39,0))))))</f>
        <v>0</v>
      </c>
      <c r="AQ39" s="28" t="n">
        <f aca="false">IF(AND(AK39=1,SUM($AJ39:$AO39)=6),$M39/6,IF(AND(AK39=1,SUM($AJ39:$AO39)=5),$M39/5,IF(AND(AK39=1,SUM($AJ39:$AO39)=4),$M39/4,IF(AND(AK39=1,SUM($AJ39:$AO39)=3),$M39/3,IF(AND(AK39=1,SUM($AJ39:$AO39)=2),$M39/2,IF(AND(AK39=1,SUM($AJ39:$AO39)=1),$M39,0))))))</f>
        <v>339333.333333333</v>
      </c>
      <c r="AR39" s="28" t="n">
        <f aca="false">IF(AND(AL39=1,SUM($AJ39:$AO39)=6),$M39/6,IF(AND(AL39=1,SUM($AJ39:$AO39)=5),$M39/5,IF(AND(AL39=1,SUM($AJ39:$AO39)=4),$M39/4,IF(AND(AL39=1,SUM($AJ39:$AO39)=3),$M39/3,IF(AND(AL39=1,SUM($AJ39:$AO39)=2),$M39/2,IF(AND(AL39=1,SUM($AJ39:$AO39)=1),$M39,0))))))</f>
        <v>339333.333333333</v>
      </c>
      <c r="AS39" s="28" t="n">
        <f aca="false">IF(AND(AM39=1,SUM($AJ39:$AO39)=6),$M39/6,IF(AND(AM39=1,SUM($AJ39:$AO39)=5),$M39/5,IF(AND(AM39=1,SUM($AJ39:$AO39)=4),$M39/4,IF(AND(AM39=1,SUM($AJ39:$AO39)=3),$M39/3,IF(AND(AM39=1,SUM($AJ39:$AO39)=2),$M39/2,IF(AND(AM39=1,SUM($AJ39:$AO39)=1),$M39,0))))))</f>
        <v>339333.333333333</v>
      </c>
      <c r="AT39" s="28" t="n">
        <f aca="false">IF(AND(AN39=1,SUM($AJ39:$AO39)=6),$M39/6,IF(AND(AN39=1,SUM($AJ39:$AO39)=5),$M39/5,IF(AND(AN39=1,SUM($AJ39:$AO39)=4),$M39/4,IF(AND(AN39=1,SUM($AJ39:$AO39)=3),$M39/3,IF(AND(AN39=1,SUM($AJ39:$AO39)=2),$M39/2,IF(AND(AN39=1,SUM($AJ39:$AO39)=1),$M39,0))))))</f>
        <v>0</v>
      </c>
      <c r="AU39" s="28" t="n">
        <f aca="false">IF(AND(AO39=1,SUM($AJ39:$AO39)=6),$M39/6,IF(AND(AO39=1,SUM($AJ39:$AO39)=5),$M39/5,IF(AND(AO39=1,SUM($AJ39:$AO39)=4),$M39/4,IF(AND(AO39=1,SUM($AJ39:$AO39)=3),$M39/3,IF(AND(AO39=1,SUM($AJ39:$AO39)=2),$M39/2,IF(AND(AO39=1,SUM($AJ39:$AO39)=1),$M39,0))))))</f>
        <v>0</v>
      </c>
      <c r="AV39" s="29" t="s">
        <v>116</v>
      </c>
      <c r="AW39" s="26"/>
      <c r="AX39" s="29" t="s">
        <v>114</v>
      </c>
      <c r="AY39" s="26"/>
      <c r="AZ39" s="29" t="s">
        <v>114</v>
      </c>
      <c r="BA39" s="30" t="s">
        <v>327</v>
      </c>
      <c r="BB39" s="29" t="s">
        <v>117</v>
      </c>
      <c r="BC39" s="29" t="s">
        <v>185</v>
      </c>
      <c r="BD39" s="26" t="s">
        <v>116</v>
      </c>
      <c r="BE39" s="29" t="s">
        <v>328</v>
      </c>
      <c r="BF39" s="29" t="s">
        <v>114</v>
      </c>
      <c r="BG39" s="30" t="s">
        <v>119</v>
      </c>
    </row>
    <row r="40" customFormat="false" ht="39.55" hidden="false" customHeight="false" outlineLevel="0" collapsed="false">
      <c r="A40" s="20" t="n">
        <v>38</v>
      </c>
      <c r="B40" s="32" t="s">
        <v>15</v>
      </c>
      <c r="C40" s="20" t="s">
        <v>329</v>
      </c>
      <c r="D40" s="20" t="s">
        <v>330</v>
      </c>
      <c r="E40" s="20" t="s">
        <v>46</v>
      </c>
      <c r="F40" s="21" t="s">
        <v>4</v>
      </c>
      <c r="G40" s="21" t="s">
        <v>109</v>
      </c>
      <c r="H40" s="21" t="s">
        <v>331</v>
      </c>
      <c r="I40" s="22" t="s">
        <v>111</v>
      </c>
      <c r="J40" s="22" t="s">
        <v>14</v>
      </c>
      <c r="K40" s="23" t="s">
        <v>122</v>
      </c>
      <c r="L40" s="24" t="n">
        <f aca="false">M40*3600</f>
        <v>3666600000</v>
      </c>
      <c r="M40" s="25" t="n">
        <v>1018500</v>
      </c>
      <c r="N40" s="21"/>
      <c r="O40" s="43" t="s">
        <v>332</v>
      </c>
      <c r="P40" s="21" t="s">
        <v>333</v>
      </c>
      <c r="Q40" s="21" t="s">
        <v>334</v>
      </c>
      <c r="R40" s="27" t="n">
        <v>1</v>
      </c>
      <c r="S40" s="27" t="n">
        <v>1</v>
      </c>
      <c r="T40" s="26"/>
      <c r="U40" s="26" t="n">
        <v>1</v>
      </c>
      <c r="V40" s="26"/>
      <c r="W40" s="26"/>
      <c r="X40" s="26" t="n">
        <v>1</v>
      </c>
      <c r="Y40" s="26"/>
      <c r="Z40" s="26"/>
      <c r="AA40" s="26" t="n">
        <v>1</v>
      </c>
      <c r="AB40" s="26"/>
      <c r="AC40" s="26"/>
      <c r="AD40" s="26" t="n">
        <v>1</v>
      </c>
      <c r="AE40" s="26"/>
      <c r="AF40" s="26"/>
      <c r="AG40" s="26" t="n">
        <v>1</v>
      </c>
      <c r="AH40" s="26"/>
      <c r="AI40" s="26"/>
      <c r="AJ40" s="22" t="n">
        <f aca="false">IF(SUM(R40:T40)&gt;0,1,0)</f>
        <v>1</v>
      </c>
      <c r="AK40" s="22" t="n">
        <f aca="false">IF(SUM(U40:W40)&gt;0,1,0)</f>
        <v>1</v>
      </c>
      <c r="AL40" s="22" t="n">
        <f aca="false">IF(SUM(X40:Z40)&gt;0,1,0)</f>
        <v>1</v>
      </c>
      <c r="AM40" s="22" t="n">
        <f aca="false">IF(SUM(AA40:AC40)&gt;0,1,0)</f>
        <v>1</v>
      </c>
      <c r="AN40" s="22" t="n">
        <f aca="false">IF(SUM(AD40:AF40)&gt;0,1,0)</f>
        <v>1</v>
      </c>
      <c r="AO40" s="22" t="n">
        <f aca="false">IF(SUM(AG40:AI40)&gt;0,1,0)</f>
        <v>1</v>
      </c>
      <c r="AP40" s="28" t="n">
        <f aca="false">IF(AND(AJ40=1,SUM($AJ40:$AO40)=6),$M40/6,IF(AND(AJ40=1,SUM($AJ40:$AO40)=5),$M40/5,IF(AND(AJ40=1,SUM($AJ40:$AO40)=4),$M40/4,IF(AND(AJ40=1,SUM($AJ40:$AO40)=3),$M40/3,IF(AND(AJ40=1,SUM($AJ40:$AO40)=2),$M40/2,IF(AND(AJ40=1,SUM($AJ40:$AO40)=1),$M40,0))))))</f>
        <v>169750</v>
      </c>
      <c r="AQ40" s="28" t="n">
        <f aca="false">IF(AND(AK40=1,SUM($AJ40:$AO40)=6),$M40/6,IF(AND(AK40=1,SUM($AJ40:$AO40)=5),$M40/5,IF(AND(AK40=1,SUM($AJ40:$AO40)=4),$M40/4,IF(AND(AK40=1,SUM($AJ40:$AO40)=3),$M40/3,IF(AND(AK40=1,SUM($AJ40:$AO40)=2),$M40/2,IF(AND(AK40=1,SUM($AJ40:$AO40)=1),$M40,0))))))</f>
        <v>169750</v>
      </c>
      <c r="AR40" s="28" t="n">
        <f aca="false">IF(AND(AL40=1,SUM($AJ40:$AO40)=6),$M40/6,IF(AND(AL40=1,SUM($AJ40:$AO40)=5),$M40/5,IF(AND(AL40=1,SUM($AJ40:$AO40)=4),$M40/4,IF(AND(AL40=1,SUM($AJ40:$AO40)=3),$M40/3,IF(AND(AL40=1,SUM($AJ40:$AO40)=2),$M40/2,IF(AND(AL40=1,SUM($AJ40:$AO40)=1),$M40,0))))))</f>
        <v>169750</v>
      </c>
      <c r="AS40" s="28" t="n">
        <f aca="false">IF(AND(AM40=1,SUM($AJ40:$AO40)=6),$M40/6,IF(AND(AM40=1,SUM($AJ40:$AO40)=5),$M40/5,IF(AND(AM40=1,SUM($AJ40:$AO40)=4),$M40/4,IF(AND(AM40=1,SUM($AJ40:$AO40)=3),$M40/3,IF(AND(AM40=1,SUM($AJ40:$AO40)=2),$M40/2,IF(AND(AM40=1,SUM($AJ40:$AO40)=1),$M40,0))))))</f>
        <v>169750</v>
      </c>
      <c r="AT40" s="28" t="n">
        <f aca="false">IF(AND(AN40=1,SUM($AJ40:$AO40)=6),$M40/6,IF(AND(AN40=1,SUM($AJ40:$AO40)=5),$M40/5,IF(AND(AN40=1,SUM($AJ40:$AO40)=4),$M40/4,IF(AND(AN40=1,SUM($AJ40:$AO40)=3),$M40/3,IF(AND(AN40=1,SUM($AJ40:$AO40)=2),$M40/2,IF(AND(AN40=1,SUM($AJ40:$AO40)=1),$M40,0))))))</f>
        <v>169750</v>
      </c>
      <c r="AU40" s="28" t="n">
        <f aca="false">IF(AND(AO40=1,SUM($AJ40:$AO40)=6),$M40/6,IF(AND(AO40=1,SUM($AJ40:$AO40)=5),$M40/5,IF(AND(AO40=1,SUM($AJ40:$AO40)=4),$M40/4,IF(AND(AO40=1,SUM($AJ40:$AO40)=3),$M40/3,IF(AND(AO40=1,SUM($AJ40:$AO40)=2),$M40/2,IF(AND(AO40=1,SUM($AJ40:$AO40)=1),$M40,0))))))</f>
        <v>169750</v>
      </c>
      <c r="AV40" s="29" t="s">
        <v>114</v>
      </c>
      <c r="AW40" s="29"/>
      <c r="AX40" s="29" t="s">
        <v>114</v>
      </c>
      <c r="AY40" s="30"/>
      <c r="AZ40" s="29" t="s">
        <v>114</v>
      </c>
      <c r="BA40" s="30" t="s">
        <v>335</v>
      </c>
      <c r="BB40" s="29" t="s">
        <v>117</v>
      </c>
      <c r="BC40" s="29" t="s">
        <v>192</v>
      </c>
      <c r="BD40" s="26" t="s">
        <v>116</v>
      </c>
      <c r="BE40" s="29" t="s">
        <v>336</v>
      </c>
      <c r="BF40" s="29" t="s">
        <v>114</v>
      </c>
      <c r="BG40" s="30" t="s">
        <v>119</v>
      </c>
    </row>
    <row r="41" customFormat="false" ht="39.55" hidden="false" customHeight="false" outlineLevel="0" collapsed="false">
      <c r="A41" s="20" t="n">
        <v>39</v>
      </c>
      <c r="B41" s="32" t="s">
        <v>15</v>
      </c>
      <c r="C41" s="20" t="s">
        <v>329</v>
      </c>
      <c r="D41" s="20" t="s">
        <v>337</v>
      </c>
      <c r="E41" s="20" t="s">
        <v>46</v>
      </c>
      <c r="F41" s="21" t="s">
        <v>4</v>
      </c>
      <c r="G41" s="21" t="s">
        <v>109</v>
      </c>
      <c r="H41" s="21" t="s">
        <v>338</v>
      </c>
      <c r="I41" s="22" t="s">
        <v>111</v>
      </c>
      <c r="J41" s="22" t="s">
        <v>14</v>
      </c>
      <c r="K41" s="23" t="s">
        <v>130</v>
      </c>
      <c r="L41" s="24" t="n">
        <f aca="false">M41*3600</f>
        <v>3668400000</v>
      </c>
      <c r="M41" s="25" t="n">
        <v>1019000</v>
      </c>
      <c r="N41" s="44"/>
      <c r="O41" s="45" t="n">
        <v>43922</v>
      </c>
      <c r="P41" s="36" t="s">
        <v>211</v>
      </c>
      <c r="Q41" s="36" t="s">
        <v>339</v>
      </c>
      <c r="R41" s="26"/>
      <c r="S41" s="26"/>
      <c r="T41" s="26"/>
      <c r="U41" s="26" t="n">
        <v>1</v>
      </c>
      <c r="V41" s="26"/>
      <c r="W41" s="26"/>
      <c r="X41" s="26"/>
      <c r="Y41" s="26"/>
      <c r="Z41" s="26"/>
      <c r="AA41" s="26"/>
      <c r="AB41" s="26"/>
      <c r="AC41" s="26"/>
      <c r="AD41" s="26"/>
      <c r="AE41" s="26"/>
      <c r="AF41" s="26"/>
      <c r="AG41" s="26"/>
      <c r="AH41" s="26"/>
      <c r="AI41" s="26"/>
      <c r="AJ41" s="22" t="n">
        <f aca="false">IF(SUM(R41:T41)&gt;0,1,0)</f>
        <v>0</v>
      </c>
      <c r="AK41" s="22" t="n">
        <f aca="false">IF(SUM(U41:W41)&gt;0,1,0)</f>
        <v>1</v>
      </c>
      <c r="AL41" s="22" t="n">
        <f aca="false">IF(SUM(X41:Z41)&gt;0,1,0)</f>
        <v>0</v>
      </c>
      <c r="AM41" s="22" t="n">
        <f aca="false">IF(SUM(AA41:AC41)&gt;0,1,0)</f>
        <v>0</v>
      </c>
      <c r="AN41" s="22" t="n">
        <f aca="false">IF(SUM(AD41:AF41)&gt;0,1,0)</f>
        <v>0</v>
      </c>
      <c r="AO41" s="22" t="n">
        <f aca="false">IF(SUM(AG41:AI41)&gt;0,1,0)</f>
        <v>0</v>
      </c>
      <c r="AP41" s="28" t="n">
        <f aca="false">IF(AND(AJ41=1,SUM($AJ41:$AO41)=6),$M41/6,IF(AND(AJ41=1,SUM($AJ41:$AO41)=5),$M41/5,IF(AND(AJ41=1,SUM($AJ41:$AO41)=4),$M41/4,IF(AND(AJ41=1,SUM($AJ41:$AO41)=3),$M41/3,IF(AND(AJ41=1,SUM($AJ41:$AO41)=2),$M41/2,IF(AND(AJ41=1,SUM($AJ41:$AO41)=1),$M41,0))))))</f>
        <v>0</v>
      </c>
      <c r="AQ41" s="28" t="n">
        <f aca="false">IF(AND(AK41=1,SUM($AJ41:$AO41)=6),$M41/6,IF(AND(AK41=1,SUM($AJ41:$AO41)=5),$M41/5,IF(AND(AK41=1,SUM($AJ41:$AO41)=4),$M41/4,IF(AND(AK41=1,SUM($AJ41:$AO41)=3),$M41/3,IF(AND(AK41=1,SUM($AJ41:$AO41)=2),$M41/2,IF(AND(AK41=1,SUM($AJ41:$AO41)=1),$M41,0))))))</f>
        <v>1019000</v>
      </c>
      <c r="AR41" s="28" t="n">
        <f aca="false">IF(AND(AL41=1,SUM($AJ41:$AO41)=6),$M41/6,IF(AND(AL41=1,SUM($AJ41:$AO41)=5),$M41/5,IF(AND(AL41=1,SUM($AJ41:$AO41)=4),$M41/4,IF(AND(AL41=1,SUM($AJ41:$AO41)=3),$M41/3,IF(AND(AL41=1,SUM($AJ41:$AO41)=2),$M41/2,IF(AND(AL41=1,SUM($AJ41:$AO41)=1),$M41,0))))))</f>
        <v>0</v>
      </c>
      <c r="AS41" s="28" t="n">
        <f aca="false">IF(AND(AM41=1,SUM($AJ41:$AO41)=6),$M41/6,IF(AND(AM41=1,SUM($AJ41:$AO41)=5),$M41/5,IF(AND(AM41=1,SUM($AJ41:$AO41)=4),$M41/4,IF(AND(AM41=1,SUM($AJ41:$AO41)=3),$M41/3,IF(AND(AM41=1,SUM($AJ41:$AO41)=2),$M41/2,IF(AND(AM41=1,SUM($AJ41:$AO41)=1),$M41,0))))))</f>
        <v>0</v>
      </c>
      <c r="AT41" s="28" t="n">
        <f aca="false">IF(AND(AN41=1,SUM($AJ41:$AO41)=6),$M41/6,IF(AND(AN41=1,SUM($AJ41:$AO41)=5),$M41/5,IF(AND(AN41=1,SUM($AJ41:$AO41)=4),$M41/4,IF(AND(AN41=1,SUM($AJ41:$AO41)=3),$M41/3,IF(AND(AN41=1,SUM($AJ41:$AO41)=2),$M41/2,IF(AND(AN41=1,SUM($AJ41:$AO41)=1),$M41,0))))))</f>
        <v>0</v>
      </c>
      <c r="AU41" s="28" t="n">
        <f aca="false">IF(AND(AO41=1,SUM($AJ41:$AO41)=6),$M41/6,IF(AND(AO41=1,SUM($AJ41:$AO41)=5),$M41/5,IF(AND(AO41=1,SUM($AJ41:$AO41)=4),$M41/4,IF(AND(AO41=1,SUM($AJ41:$AO41)=3),$M41/3,IF(AND(AO41=1,SUM($AJ41:$AO41)=2),$M41/2,IF(AND(AO41=1,SUM($AJ41:$AO41)=1),$M41,0))))))</f>
        <v>0</v>
      </c>
      <c r="AV41" s="29" t="s">
        <v>114</v>
      </c>
      <c r="AW41" s="26"/>
      <c r="AX41" s="29" t="s">
        <v>114</v>
      </c>
      <c r="AY41" s="26"/>
      <c r="AZ41" s="29" t="s">
        <v>117</v>
      </c>
      <c r="BA41" s="30" t="s">
        <v>340</v>
      </c>
      <c r="BB41" s="29" t="s">
        <v>117</v>
      </c>
      <c r="BC41" s="29" t="s">
        <v>199</v>
      </c>
      <c r="BD41" s="26" t="s">
        <v>116</v>
      </c>
      <c r="BE41" s="29" t="s">
        <v>341</v>
      </c>
      <c r="BF41" s="29" t="s">
        <v>114</v>
      </c>
      <c r="BG41" s="30" t="s">
        <v>119</v>
      </c>
    </row>
    <row r="42" customFormat="false" ht="39.55" hidden="false" customHeight="false" outlineLevel="0" collapsed="false">
      <c r="A42" s="20" t="n">
        <v>40</v>
      </c>
      <c r="B42" s="33" t="s">
        <v>15</v>
      </c>
      <c r="C42" s="20" t="s">
        <v>107</v>
      </c>
      <c r="D42" s="20" t="s">
        <v>342</v>
      </c>
      <c r="E42" s="20" t="s">
        <v>46</v>
      </c>
      <c r="F42" s="21" t="s">
        <v>4</v>
      </c>
      <c r="G42" s="21" t="s">
        <v>109</v>
      </c>
      <c r="H42" s="21" t="s">
        <v>343</v>
      </c>
      <c r="I42" s="22" t="s">
        <v>111</v>
      </c>
      <c r="J42" s="22" t="s">
        <v>16</v>
      </c>
      <c r="K42" s="23" t="s">
        <v>16</v>
      </c>
      <c r="L42" s="24" t="n">
        <f aca="false">M42*3600</f>
        <v>6550200000</v>
      </c>
      <c r="M42" s="25" t="n">
        <v>1819500</v>
      </c>
      <c r="N42" s="21"/>
      <c r="O42" s="31" t="n">
        <v>44317</v>
      </c>
      <c r="P42" s="21" t="s">
        <v>124</v>
      </c>
      <c r="Q42" s="21"/>
      <c r="R42" s="26"/>
      <c r="S42" s="26"/>
      <c r="T42" s="26"/>
      <c r="U42" s="26"/>
      <c r="V42" s="26"/>
      <c r="W42" s="26"/>
      <c r="X42" s="26"/>
      <c r="Y42" s="26"/>
      <c r="Z42" s="26"/>
      <c r="AA42" s="26"/>
      <c r="AB42" s="26"/>
      <c r="AC42" s="26"/>
      <c r="AD42" s="26"/>
      <c r="AE42" s="26"/>
      <c r="AF42" s="26"/>
      <c r="AG42" s="26"/>
      <c r="AH42" s="27" t="n">
        <v>1</v>
      </c>
      <c r="AI42" s="26"/>
      <c r="AJ42" s="22" t="n">
        <f aca="false">IF(SUM(R42:T42)&gt;0,1,0)</f>
        <v>0</v>
      </c>
      <c r="AK42" s="22" t="n">
        <f aca="false">IF(SUM(U42:W42)&gt;0,1,0)</f>
        <v>0</v>
      </c>
      <c r="AL42" s="22" t="n">
        <f aca="false">IF(SUM(X42:Z42)&gt;0,1,0)</f>
        <v>0</v>
      </c>
      <c r="AM42" s="22" t="n">
        <f aca="false">IF(SUM(AA42:AC42)&gt;0,1,0)</f>
        <v>0</v>
      </c>
      <c r="AN42" s="22" t="n">
        <f aca="false">IF(SUM(AD42:AF42)&gt;0,1,0)</f>
        <v>0</v>
      </c>
      <c r="AO42" s="22" t="n">
        <f aca="false">IF(SUM(AG42:AI42)&gt;0,1,0)</f>
        <v>1</v>
      </c>
      <c r="AP42" s="28" t="n">
        <f aca="false">IF(AND(AJ42=1,SUM($AJ42:$AO42)=6),$M42/6,IF(AND(AJ42=1,SUM($AJ42:$AO42)=5),$M42/5,IF(AND(AJ42=1,SUM($AJ42:$AO42)=4),$M42/4,IF(AND(AJ42=1,SUM($AJ42:$AO42)=3),$M42/3,IF(AND(AJ42=1,SUM($AJ42:$AO42)=2),$M42/2,IF(AND(AJ42=1,SUM($AJ42:$AO42)=1),$M42,0))))))</f>
        <v>0</v>
      </c>
      <c r="AQ42" s="28" t="n">
        <f aca="false">IF(AND(AK42=1,SUM($AJ42:$AO42)=6),$M42/6,IF(AND(AK42=1,SUM($AJ42:$AO42)=5),$M42/5,IF(AND(AK42=1,SUM($AJ42:$AO42)=4),$M42/4,IF(AND(AK42=1,SUM($AJ42:$AO42)=3),$M42/3,IF(AND(AK42=1,SUM($AJ42:$AO42)=2),$M42/2,IF(AND(AK42=1,SUM($AJ42:$AO42)=1),$M42,0))))))</f>
        <v>0</v>
      </c>
      <c r="AR42" s="28" t="n">
        <f aca="false">IF(AND(AL42=1,SUM($AJ42:$AO42)=6),$M42/6,IF(AND(AL42=1,SUM($AJ42:$AO42)=5),$M42/5,IF(AND(AL42=1,SUM($AJ42:$AO42)=4),$M42/4,IF(AND(AL42=1,SUM($AJ42:$AO42)=3),$M42/3,IF(AND(AL42=1,SUM($AJ42:$AO42)=2),$M42/2,IF(AND(AL42=1,SUM($AJ42:$AO42)=1),$M42,0))))))</f>
        <v>0</v>
      </c>
      <c r="AS42" s="28" t="n">
        <f aca="false">IF(AND(AM42=1,SUM($AJ42:$AO42)=6),$M42/6,IF(AND(AM42=1,SUM($AJ42:$AO42)=5),$M42/5,IF(AND(AM42=1,SUM($AJ42:$AO42)=4),$M42/4,IF(AND(AM42=1,SUM($AJ42:$AO42)=3),$M42/3,IF(AND(AM42=1,SUM($AJ42:$AO42)=2),$M42/2,IF(AND(AM42=1,SUM($AJ42:$AO42)=1),$M42,0))))))</f>
        <v>0</v>
      </c>
      <c r="AT42" s="28" t="n">
        <f aca="false">IF(AND(AN42=1,SUM($AJ42:$AO42)=6),$M42/6,IF(AND(AN42=1,SUM($AJ42:$AO42)=5),$M42/5,IF(AND(AN42=1,SUM($AJ42:$AO42)=4),$M42/4,IF(AND(AN42=1,SUM($AJ42:$AO42)=3),$M42/3,IF(AND(AN42=1,SUM($AJ42:$AO42)=2),$M42/2,IF(AND(AN42=1,SUM($AJ42:$AO42)=1),$M42,0))))))</f>
        <v>0</v>
      </c>
      <c r="AU42" s="28" t="n">
        <f aca="false">IF(AND(AO42=1,SUM($AJ42:$AO42)=6),$M42/6,IF(AND(AO42=1,SUM($AJ42:$AO42)=5),$M42/5,IF(AND(AO42=1,SUM($AJ42:$AO42)=4),$M42/4,IF(AND(AO42=1,SUM($AJ42:$AO42)=3),$M42/3,IF(AND(AO42=1,SUM($AJ42:$AO42)=2),$M42/2,IF(AND(AO42=1,SUM($AJ42:$AO42)=1),$M42,0))))))</f>
        <v>1819500</v>
      </c>
      <c r="AV42" s="29" t="s">
        <v>114</v>
      </c>
      <c r="AW42" s="29"/>
      <c r="AX42" s="29" t="s">
        <v>116</v>
      </c>
      <c r="AY42" s="30"/>
      <c r="AZ42" s="29" t="s">
        <v>117</v>
      </c>
      <c r="BA42" s="30" t="s">
        <v>344</v>
      </c>
      <c r="BB42" s="29" t="s">
        <v>117</v>
      </c>
      <c r="BC42" s="29" t="s">
        <v>205</v>
      </c>
      <c r="BD42" s="29" t="s">
        <v>117</v>
      </c>
      <c r="BE42" s="29" t="s">
        <v>345</v>
      </c>
      <c r="BF42" s="29" t="s">
        <v>116</v>
      </c>
      <c r="BG42" s="30" t="s">
        <v>119</v>
      </c>
    </row>
    <row r="43" s="46" customFormat="true" ht="39.55" hidden="false" customHeight="false" outlineLevel="0" collapsed="false">
      <c r="A43" s="20" t="n">
        <v>41</v>
      </c>
      <c r="B43" s="32" t="s">
        <v>15</v>
      </c>
      <c r="C43" s="20" t="s">
        <v>107</v>
      </c>
      <c r="D43" s="32" t="s">
        <v>346</v>
      </c>
      <c r="E43" s="32" t="s">
        <v>46</v>
      </c>
      <c r="F43" s="21" t="s">
        <v>4</v>
      </c>
      <c r="G43" s="21" t="s">
        <v>109</v>
      </c>
      <c r="H43" s="35" t="s">
        <v>347</v>
      </c>
      <c r="I43" s="22" t="s">
        <v>111</v>
      </c>
      <c r="J43" s="22" t="s">
        <v>18</v>
      </c>
      <c r="K43" s="23" t="s">
        <v>122</v>
      </c>
      <c r="L43" s="24" t="n">
        <f aca="false">M43*3600</f>
        <v>3672000000</v>
      </c>
      <c r="M43" s="25" t="n">
        <v>1020000</v>
      </c>
      <c r="N43" s="21"/>
      <c r="O43" s="21" t="s">
        <v>348</v>
      </c>
      <c r="P43" s="35" t="s">
        <v>349</v>
      </c>
      <c r="Q43" s="35" t="s">
        <v>350</v>
      </c>
      <c r="R43" s="26"/>
      <c r="S43" s="26"/>
      <c r="T43" s="26"/>
      <c r="U43" s="26"/>
      <c r="V43" s="27" t="n">
        <v>1</v>
      </c>
      <c r="W43" s="26"/>
      <c r="X43" s="26"/>
      <c r="Y43" s="26"/>
      <c r="Z43" s="26"/>
      <c r="AA43" s="26"/>
      <c r="AB43" s="27" t="n">
        <v>1</v>
      </c>
      <c r="AC43" s="26"/>
      <c r="AD43" s="26"/>
      <c r="AE43" s="26"/>
      <c r="AF43" s="26"/>
      <c r="AG43" s="26"/>
      <c r="AH43" s="27" t="n">
        <v>1</v>
      </c>
      <c r="AI43" s="26"/>
      <c r="AJ43" s="22" t="n">
        <f aca="false">IF(SUM(R43:T43)&gt;0,1,0)</f>
        <v>0</v>
      </c>
      <c r="AK43" s="22" t="n">
        <f aca="false">IF(SUM(U43:W43)&gt;0,1,0)</f>
        <v>1</v>
      </c>
      <c r="AL43" s="22" t="n">
        <f aca="false">IF(SUM(X43:Z43)&gt;0,1,0)</f>
        <v>0</v>
      </c>
      <c r="AM43" s="22" t="n">
        <f aca="false">IF(SUM(AA43:AC43)&gt;0,1,0)</f>
        <v>1</v>
      </c>
      <c r="AN43" s="22" t="n">
        <f aca="false">IF(SUM(AD43:AF43)&gt;0,1,0)</f>
        <v>0</v>
      </c>
      <c r="AO43" s="22" t="n">
        <f aca="false">IF(SUM(AG43:AI43)&gt;0,1,0)</f>
        <v>1</v>
      </c>
      <c r="AP43" s="28" t="n">
        <f aca="false">IF(AND(AJ43=1,SUM($AJ43:$AO43)=6),$M43/6,IF(AND(AJ43=1,SUM($AJ43:$AO43)=5),$M43/5,IF(AND(AJ43=1,SUM($AJ43:$AO43)=4),$M43/4,IF(AND(AJ43=1,SUM($AJ43:$AO43)=3),$M43/3,IF(AND(AJ43=1,SUM($AJ43:$AO43)=2),$M43/2,IF(AND(AJ43=1,SUM($AJ43:$AO43)=1),$M43,0))))))</f>
        <v>0</v>
      </c>
      <c r="AQ43" s="28" t="n">
        <f aca="false">IF(AND(AK43=1,SUM($AJ43:$AO43)=6),$M43/6,IF(AND(AK43=1,SUM($AJ43:$AO43)=5),$M43/5,IF(AND(AK43=1,SUM($AJ43:$AO43)=4),$M43/4,IF(AND(AK43=1,SUM($AJ43:$AO43)=3),$M43/3,IF(AND(AK43=1,SUM($AJ43:$AO43)=2),$M43/2,IF(AND(AK43=1,SUM($AJ43:$AO43)=1),$M43,0))))))</f>
        <v>340000</v>
      </c>
      <c r="AR43" s="28" t="n">
        <f aca="false">IF(AND(AL43=1,SUM($AJ43:$AO43)=6),$M43/6,IF(AND(AL43=1,SUM($AJ43:$AO43)=5),$M43/5,IF(AND(AL43=1,SUM($AJ43:$AO43)=4),$M43/4,IF(AND(AL43=1,SUM($AJ43:$AO43)=3),$M43/3,IF(AND(AL43=1,SUM($AJ43:$AO43)=2),$M43/2,IF(AND(AL43=1,SUM($AJ43:$AO43)=1),$M43,0))))))</f>
        <v>0</v>
      </c>
      <c r="AS43" s="28" t="n">
        <f aca="false">IF(AND(AM43=1,SUM($AJ43:$AO43)=6),$M43/6,IF(AND(AM43=1,SUM($AJ43:$AO43)=5),$M43/5,IF(AND(AM43=1,SUM($AJ43:$AO43)=4),$M43/4,IF(AND(AM43=1,SUM($AJ43:$AO43)=3),$M43/3,IF(AND(AM43=1,SUM($AJ43:$AO43)=2),$M43/2,IF(AND(AM43=1,SUM($AJ43:$AO43)=1),$M43,0))))))</f>
        <v>340000</v>
      </c>
      <c r="AT43" s="28" t="n">
        <f aca="false">IF(AND(AN43=1,SUM($AJ43:$AO43)=6),$M43/6,IF(AND(AN43=1,SUM($AJ43:$AO43)=5),$M43/5,IF(AND(AN43=1,SUM($AJ43:$AO43)=4),$M43/4,IF(AND(AN43=1,SUM($AJ43:$AO43)=3),$M43/3,IF(AND(AN43=1,SUM($AJ43:$AO43)=2),$M43/2,IF(AND(AN43=1,SUM($AJ43:$AO43)=1),$M43,0))))))</f>
        <v>0</v>
      </c>
      <c r="AU43" s="28" t="n">
        <f aca="false">IF(AND(AO43=1,SUM($AJ43:$AO43)=6),$M43/6,IF(AND(AO43=1,SUM($AJ43:$AO43)=5),$M43/5,IF(AND(AO43=1,SUM($AJ43:$AO43)=4),$M43/4,IF(AND(AO43=1,SUM($AJ43:$AO43)=3),$M43/3,IF(AND(AO43=1,SUM($AJ43:$AO43)=2),$M43/2,IF(AND(AO43=1,SUM($AJ43:$AO43)=1),$M43,0))))))</f>
        <v>340000</v>
      </c>
      <c r="AV43" s="29" t="s">
        <v>114</v>
      </c>
      <c r="AW43" s="30"/>
      <c r="AX43" s="29" t="s">
        <v>116</v>
      </c>
      <c r="AY43" s="30"/>
      <c r="AZ43" s="29" t="s">
        <v>117</v>
      </c>
      <c r="BA43" s="30" t="s">
        <v>351</v>
      </c>
      <c r="BB43" s="29" t="s">
        <v>116</v>
      </c>
      <c r="BC43" s="29" t="s">
        <v>213</v>
      </c>
      <c r="BD43" s="29" t="s">
        <v>117</v>
      </c>
      <c r="BE43" s="29" t="s">
        <v>352</v>
      </c>
      <c r="BF43" s="29" t="s">
        <v>116</v>
      </c>
      <c r="BG43" s="30" t="s">
        <v>119</v>
      </c>
    </row>
    <row r="44" customFormat="false" ht="39.55" hidden="false" customHeight="false" outlineLevel="0" collapsed="false">
      <c r="A44" s="20" t="n">
        <v>42</v>
      </c>
      <c r="B44" s="32" t="s">
        <v>15</v>
      </c>
      <c r="C44" s="20" t="s">
        <v>107</v>
      </c>
      <c r="D44" s="32" t="s">
        <v>353</v>
      </c>
      <c r="E44" s="32" t="s">
        <v>46</v>
      </c>
      <c r="F44" s="21" t="s">
        <v>4</v>
      </c>
      <c r="G44" s="21" t="s">
        <v>109</v>
      </c>
      <c r="H44" s="35" t="s">
        <v>354</v>
      </c>
      <c r="I44" s="22" t="s">
        <v>111</v>
      </c>
      <c r="J44" s="22" t="s">
        <v>18</v>
      </c>
      <c r="K44" s="23" t="s">
        <v>130</v>
      </c>
      <c r="L44" s="24" t="n">
        <f aca="false">M44*3600</f>
        <v>3673800000</v>
      </c>
      <c r="M44" s="25" t="n">
        <v>1020500</v>
      </c>
      <c r="N44" s="21"/>
      <c r="O44" s="31" t="n">
        <v>44013</v>
      </c>
      <c r="P44" s="35" t="s">
        <v>349</v>
      </c>
      <c r="Q44" s="35" t="s">
        <v>350</v>
      </c>
      <c r="R44" s="26"/>
      <c r="S44" s="26"/>
      <c r="T44" s="26"/>
      <c r="U44" s="26"/>
      <c r="V44" s="26"/>
      <c r="W44" s="26"/>
      <c r="X44" s="27" t="n">
        <v>1</v>
      </c>
      <c r="Y44" s="26"/>
      <c r="Z44" s="26"/>
      <c r="AA44" s="26"/>
      <c r="AB44" s="26"/>
      <c r="AC44" s="26"/>
      <c r="AD44" s="26"/>
      <c r="AE44" s="26"/>
      <c r="AF44" s="26"/>
      <c r="AG44" s="26"/>
      <c r="AH44" s="26"/>
      <c r="AI44" s="26"/>
      <c r="AJ44" s="22" t="n">
        <f aca="false">IF(SUM(R44:T44)&gt;0,1,0)</f>
        <v>0</v>
      </c>
      <c r="AK44" s="22" t="n">
        <f aca="false">IF(SUM(U44:W44)&gt;0,1,0)</f>
        <v>0</v>
      </c>
      <c r="AL44" s="22" t="n">
        <f aca="false">IF(SUM(X44:Z44)&gt;0,1,0)</f>
        <v>1</v>
      </c>
      <c r="AM44" s="22" t="n">
        <f aca="false">IF(SUM(AA44:AC44)&gt;0,1,0)</f>
        <v>0</v>
      </c>
      <c r="AN44" s="22" t="n">
        <f aca="false">IF(SUM(AD44:AF44)&gt;0,1,0)</f>
        <v>0</v>
      </c>
      <c r="AO44" s="22" t="n">
        <f aca="false">IF(SUM(AG44:AI44)&gt;0,1,0)</f>
        <v>0</v>
      </c>
      <c r="AP44" s="28" t="n">
        <f aca="false">IF(AND(AJ44=1,SUM($AJ44:$AO44)=6),$M44/6,IF(AND(AJ44=1,SUM($AJ44:$AO44)=5),$M44/5,IF(AND(AJ44=1,SUM($AJ44:$AO44)=4),$M44/4,IF(AND(AJ44=1,SUM($AJ44:$AO44)=3),$M44/3,IF(AND(AJ44=1,SUM($AJ44:$AO44)=2),$M44/2,IF(AND(AJ44=1,SUM($AJ44:$AO44)=1),$M44,0))))))</f>
        <v>0</v>
      </c>
      <c r="AQ44" s="28" t="n">
        <f aca="false">IF(AND(AK44=1,SUM($AJ44:$AO44)=6),$M44/6,IF(AND(AK44=1,SUM($AJ44:$AO44)=5),$M44/5,IF(AND(AK44=1,SUM($AJ44:$AO44)=4),$M44/4,IF(AND(AK44=1,SUM($AJ44:$AO44)=3),$M44/3,IF(AND(AK44=1,SUM($AJ44:$AO44)=2),$M44/2,IF(AND(AK44=1,SUM($AJ44:$AO44)=1),$M44,0))))))</f>
        <v>0</v>
      </c>
      <c r="AR44" s="28" t="n">
        <f aca="false">IF(AND(AL44=1,SUM($AJ44:$AO44)=6),$M44/6,IF(AND(AL44=1,SUM($AJ44:$AO44)=5),$M44/5,IF(AND(AL44=1,SUM($AJ44:$AO44)=4),$M44/4,IF(AND(AL44=1,SUM($AJ44:$AO44)=3),$M44/3,IF(AND(AL44=1,SUM($AJ44:$AO44)=2),$M44/2,IF(AND(AL44=1,SUM($AJ44:$AO44)=1),$M44,0))))))</f>
        <v>1020500</v>
      </c>
      <c r="AS44" s="28" t="n">
        <f aca="false">IF(AND(AM44=1,SUM($AJ44:$AO44)=6),$M44/6,IF(AND(AM44=1,SUM($AJ44:$AO44)=5),$M44/5,IF(AND(AM44=1,SUM($AJ44:$AO44)=4),$M44/4,IF(AND(AM44=1,SUM($AJ44:$AO44)=3),$M44/3,IF(AND(AM44=1,SUM($AJ44:$AO44)=2),$M44/2,IF(AND(AM44=1,SUM($AJ44:$AO44)=1),$M44,0))))))</f>
        <v>0</v>
      </c>
      <c r="AT44" s="28" t="n">
        <f aca="false">IF(AND(AN44=1,SUM($AJ44:$AO44)=6),$M44/6,IF(AND(AN44=1,SUM($AJ44:$AO44)=5),$M44/5,IF(AND(AN44=1,SUM($AJ44:$AO44)=4),$M44/4,IF(AND(AN44=1,SUM($AJ44:$AO44)=3),$M44/3,IF(AND(AN44=1,SUM($AJ44:$AO44)=2),$M44/2,IF(AND(AN44=1,SUM($AJ44:$AO44)=1),$M44,0))))))</f>
        <v>0</v>
      </c>
      <c r="AU44" s="28" t="n">
        <f aca="false">IF(AND(AO44=1,SUM($AJ44:$AO44)=6),$M44/6,IF(AND(AO44=1,SUM($AJ44:$AO44)=5),$M44/5,IF(AND(AO44=1,SUM($AJ44:$AO44)=4),$M44/4,IF(AND(AO44=1,SUM($AJ44:$AO44)=3),$M44/3,IF(AND(AO44=1,SUM($AJ44:$AO44)=2),$M44/2,IF(AND(AO44=1,SUM($AJ44:$AO44)=1),$M44,0))))))</f>
        <v>0</v>
      </c>
      <c r="AV44" s="29" t="s">
        <v>114</v>
      </c>
      <c r="AW44" s="30"/>
      <c r="AX44" s="29" t="s">
        <v>116</v>
      </c>
      <c r="AY44" s="30"/>
      <c r="AZ44" s="29" t="s">
        <v>117</v>
      </c>
      <c r="BA44" s="30" t="s">
        <v>355</v>
      </c>
      <c r="BB44" s="29" t="s">
        <v>116</v>
      </c>
      <c r="BC44" s="29" t="s">
        <v>220</v>
      </c>
      <c r="BD44" s="29" t="s">
        <v>117</v>
      </c>
      <c r="BE44" s="29" t="s">
        <v>356</v>
      </c>
      <c r="BF44" s="29" t="s">
        <v>116</v>
      </c>
      <c r="BG44" s="30" t="s">
        <v>119</v>
      </c>
    </row>
    <row r="45" customFormat="false" ht="39.55" hidden="false" customHeight="false" outlineLevel="0" collapsed="false">
      <c r="A45" s="20" t="n">
        <v>43</v>
      </c>
      <c r="B45" s="32" t="s">
        <v>15</v>
      </c>
      <c r="C45" s="20" t="s">
        <v>357</v>
      </c>
      <c r="D45" s="32" t="s">
        <v>358</v>
      </c>
      <c r="E45" s="32" t="s">
        <v>46</v>
      </c>
      <c r="F45" s="21" t="s">
        <v>4</v>
      </c>
      <c r="G45" s="21" t="s">
        <v>109</v>
      </c>
      <c r="H45" s="21" t="s">
        <v>121</v>
      </c>
      <c r="I45" s="22" t="s">
        <v>150</v>
      </c>
      <c r="J45" s="22" t="s">
        <v>16</v>
      </c>
      <c r="K45" s="23" t="s">
        <v>16</v>
      </c>
      <c r="L45" s="24" t="n">
        <f aca="false">M45*3600</f>
        <v>3675600000</v>
      </c>
      <c r="M45" s="25" t="n">
        <v>1021000</v>
      </c>
      <c r="N45" s="21"/>
      <c r="O45" s="31" t="s">
        <v>359</v>
      </c>
      <c r="P45" s="21" t="s">
        <v>360</v>
      </c>
      <c r="Q45" s="21"/>
      <c r="R45" s="26"/>
      <c r="S45" s="26"/>
      <c r="T45" s="26"/>
      <c r="U45" s="27" t="n">
        <v>1</v>
      </c>
      <c r="V45" s="26"/>
      <c r="W45" s="26"/>
      <c r="X45" s="26"/>
      <c r="Y45" s="26"/>
      <c r="Z45" s="26"/>
      <c r="AA45" s="26"/>
      <c r="AB45" s="26"/>
      <c r="AC45" s="26"/>
      <c r="AD45" s="26"/>
      <c r="AE45" s="26"/>
      <c r="AF45" s="26"/>
      <c r="AG45" s="27" t="n">
        <v>1</v>
      </c>
      <c r="AH45" s="26"/>
      <c r="AI45" s="26"/>
      <c r="AJ45" s="22" t="n">
        <f aca="false">IF(SUM(R45:T45)&gt;0,1,0)</f>
        <v>0</v>
      </c>
      <c r="AK45" s="22" t="n">
        <f aca="false">IF(SUM(U45:W45)&gt;0,1,0)</f>
        <v>1</v>
      </c>
      <c r="AL45" s="22" t="n">
        <f aca="false">IF(SUM(X45:Z45)&gt;0,1,0)</f>
        <v>0</v>
      </c>
      <c r="AM45" s="22" t="n">
        <f aca="false">IF(SUM(AA45:AC45)&gt;0,1,0)</f>
        <v>0</v>
      </c>
      <c r="AN45" s="22" t="n">
        <f aca="false">IF(SUM(AD45:AF45)&gt;0,1,0)</f>
        <v>0</v>
      </c>
      <c r="AO45" s="22" t="n">
        <f aca="false">IF(SUM(AG45:AI45)&gt;0,1,0)</f>
        <v>1</v>
      </c>
      <c r="AP45" s="28" t="n">
        <f aca="false">IF(AND(AJ45=1,SUM($AJ45:$AO45)=6),$M45/6,IF(AND(AJ45=1,SUM($AJ45:$AO45)=5),$M45/5,IF(AND(AJ45=1,SUM($AJ45:$AO45)=4),$M45/4,IF(AND(AJ45=1,SUM($AJ45:$AO45)=3),$M45/3,IF(AND(AJ45=1,SUM($AJ45:$AO45)=2),$M45/2,IF(AND(AJ45=1,SUM($AJ45:$AO45)=1),$M45,0))))))</f>
        <v>0</v>
      </c>
      <c r="AQ45" s="28" t="n">
        <f aca="false">IF(AND(AK45=1,SUM($AJ45:$AO45)=6),$M45/6,IF(AND(AK45=1,SUM($AJ45:$AO45)=5),$M45/5,IF(AND(AK45=1,SUM($AJ45:$AO45)=4),$M45/4,IF(AND(AK45=1,SUM($AJ45:$AO45)=3),$M45/3,IF(AND(AK45=1,SUM($AJ45:$AO45)=2),$M45/2,IF(AND(AK45=1,SUM($AJ45:$AO45)=1),$M45,0))))))</f>
        <v>510500</v>
      </c>
      <c r="AR45" s="28" t="n">
        <f aca="false">IF(AND(AL45=1,SUM($AJ45:$AO45)=6),$M45/6,IF(AND(AL45=1,SUM($AJ45:$AO45)=5),$M45/5,IF(AND(AL45=1,SUM($AJ45:$AO45)=4),$M45/4,IF(AND(AL45=1,SUM($AJ45:$AO45)=3),$M45/3,IF(AND(AL45=1,SUM($AJ45:$AO45)=2),$M45/2,IF(AND(AL45=1,SUM($AJ45:$AO45)=1),$M45,0))))))</f>
        <v>0</v>
      </c>
      <c r="AS45" s="28" t="n">
        <f aca="false">IF(AND(AM45=1,SUM($AJ45:$AO45)=6),$M45/6,IF(AND(AM45=1,SUM($AJ45:$AO45)=5),$M45/5,IF(AND(AM45=1,SUM($AJ45:$AO45)=4),$M45/4,IF(AND(AM45=1,SUM($AJ45:$AO45)=3),$M45/3,IF(AND(AM45=1,SUM($AJ45:$AO45)=2),$M45/2,IF(AND(AM45=1,SUM($AJ45:$AO45)=1),$M45,0))))))</f>
        <v>0</v>
      </c>
      <c r="AT45" s="28" t="n">
        <f aca="false">IF(AND(AN45=1,SUM($AJ45:$AO45)=6),$M45/6,IF(AND(AN45=1,SUM($AJ45:$AO45)=5),$M45/5,IF(AND(AN45=1,SUM($AJ45:$AO45)=4),$M45/4,IF(AND(AN45=1,SUM($AJ45:$AO45)=3),$M45/3,IF(AND(AN45=1,SUM($AJ45:$AO45)=2),$M45/2,IF(AND(AN45=1,SUM($AJ45:$AO45)=1),$M45,0))))))</f>
        <v>0</v>
      </c>
      <c r="AU45" s="28" t="n">
        <f aca="false">IF(AND(AO45=1,SUM($AJ45:$AO45)=6),$M45/6,IF(AND(AO45=1,SUM($AJ45:$AO45)=5),$M45/5,IF(AND(AO45=1,SUM($AJ45:$AO45)=4),$M45/4,IF(AND(AO45=1,SUM($AJ45:$AO45)=3),$M45/3,IF(AND(AO45=1,SUM($AJ45:$AO45)=2),$M45/2,IF(AND(AO45=1,SUM($AJ45:$AO45)=1),$M45,0))))))</f>
        <v>510500</v>
      </c>
      <c r="AV45" s="29" t="s">
        <v>114</v>
      </c>
      <c r="AW45" s="30"/>
      <c r="AX45" s="29" t="s">
        <v>116</v>
      </c>
      <c r="AY45" s="30"/>
      <c r="AZ45" s="29" t="s">
        <v>116</v>
      </c>
      <c r="BA45" s="30" t="s">
        <v>361</v>
      </c>
      <c r="BB45" s="29" t="s">
        <v>116</v>
      </c>
      <c r="BC45" s="29" t="s">
        <v>224</v>
      </c>
      <c r="BD45" s="29" t="s">
        <v>117</v>
      </c>
      <c r="BE45" s="29" t="s">
        <v>362</v>
      </c>
      <c r="BF45" s="29" t="s">
        <v>117</v>
      </c>
      <c r="BG45" s="30" t="s">
        <v>119</v>
      </c>
    </row>
    <row r="46" customFormat="false" ht="39.55" hidden="false" customHeight="false" outlineLevel="0" collapsed="false">
      <c r="A46" s="20" t="n">
        <v>44</v>
      </c>
      <c r="B46" s="32" t="s">
        <v>15</v>
      </c>
      <c r="C46" s="20" t="s">
        <v>363</v>
      </c>
      <c r="D46" s="32" t="s">
        <v>364</v>
      </c>
      <c r="E46" s="32" t="s">
        <v>46</v>
      </c>
      <c r="F46" s="21" t="s">
        <v>4</v>
      </c>
      <c r="G46" s="21" t="s">
        <v>109</v>
      </c>
      <c r="H46" s="21" t="s">
        <v>149</v>
      </c>
      <c r="I46" s="22"/>
      <c r="J46" s="22" t="s">
        <v>18</v>
      </c>
      <c r="K46" s="23" t="s">
        <v>122</v>
      </c>
      <c r="L46" s="24" t="n">
        <f aca="false">M46*3600</f>
        <v>3677400000</v>
      </c>
      <c r="M46" s="25" t="n">
        <v>1021500</v>
      </c>
      <c r="N46" s="21"/>
      <c r="O46" s="31" t="n">
        <v>44136</v>
      </c>
      <c r="P46" s="21" t="s">
        <v>285</v>
      </c>
      <c r="Q46" s="21"/>
      <c r="R46" s="26"/>
      <c r="S46" s="26"/>
      <c r="T46" s="26"/>
      <c r="U46" s="26"/>
      <c r="V46" s="26"/>
      <c r="W46" s="26"/>
      <c r="X46" s="26"/>
      <c r="Y46" s="26"/>
      <c r="Z46" s="26"/>
      <c r="AA46" s="26"/>
      <c r="AB46" s="27" t="n">
        <v>1</v>
      </c>
      <c r="AC46" s="26"/>
      <c r="AD46" s="26"/>
      <c r="AE46" s="26"/>
      <c r="AF46" s="26"/>
      <c r="AG46" s="26"/>
      <c r="AH46" s="26"/>
      <c r="AI46" s="26"/>
      <c r="AJ46" s="22" t="n">
        <f aca="false">IF(SUM(R46:T46)&gt;0,1,0)</f>
        <v>0</v>
      </c>
      <c r="AK46" s="22" t="n">
        <f aca="false">IF(SUM(U46:W46)&gt;0,1,0)</f>
        <v>0</v>
      </c>
      <c r="AL46" s="22" t="n">
        <f aca="false">IF(SUM(X46:Z46)&gt;0,1,0)</f>
        <v>0</v>
      </c>
      <c r="AM46" s="22" t="n">
        <f aca="false">IF(SUM(AA46:AC46)&gt;0,1,0)</f>
        <v>1</v>
      </c>
      <c r="AN46" s="22" t="n">
        <f aca="false">IF(SUM(AD46:AF46)&gt;0,1,0)</f>
        <v>0</v>
      </c>
      <c r="AO46" s="22" t="n">
        <f aca="false">IF(SUM(AG46:AI46)&gt;0,1,0)</f>
        <v>0</v>
      </c>
      <c r="AP46" s="28" t="n">
        <f aca="false">IF(AND(AJ46=1,SUM($AJ46:$AO46)=6),$M46/6,IF(AND(AJ46=1,SUM($AJ46:$AO46)=5),$M46/5,IF(AND(AJ46=1,SUM($AJ46:$AO46)=4),$M46/4,IF(AND(AJ46=1,SUM($AJ46:$AO46)=3),$M46/3,IF(AND(AJ46=1,SUM($AJ46:$AO46)=2),$M46/2,IF(AND(AJ46=1,SUM($AJ46:$AO46)=1),$M46,0))))))</f>
        <v>0</v>
      </c>
      <c r="AQ46" s="28" t="n">
        <f aca="false">IF(AND(AK46=1,SUM($AJ46:$AO46)=6),$M46/6,IF(AND(AK46=1,SUM($AJ46:$AO46)=5),$M46/5,IF(AND(AK46=1,SUM($AJ46:$AO46)=4),$M46/4,IF(AND(AK46=1,SUM($AJ46:$AO46)=3),$M46/3,IF(AND(AK46=1,SUM($AJ46:$AO46)=2),$M46/2,IF(AND(AK46=1,SUM($AJ46:$AO46)=1),$M46,0))))))</f>
        <v>0</v>
      </c>
      <c r="AR46" s="28" t="n">
        <f aca="false">IF(AND(AL46=1,SUM($AJ46:$AO46)=6),$M46/6,IF(AND(AL46=1,SUM($AJ46:$AO46)=5),$M46/5,IF(AND(AL46=1,SUM($AJ46:$AO46)=4),$M46/4,IF(AND(AL46=1,SUM($AJ46:$AO46)=3),$M46/3,IF(AND(AL46=1,SUM($AJ46:$AO46)=2),$M46/2,IF(AND(AL46=1,SUM($AJ46:$AO46)=1),$M46,0))))))</f>
        <v>0</v>
      </c>
      <c r="AS46" s="28" t="n">
        <f aca="false">IF(AND(AM46=1,SUM($AJ46:$AO46)=6),$M46/6,IF(AND(AM46=1,SUM($AJ46:$AO46)=5),$M46/5,IF(AND(AM46=1,SUM($AJ46:$AO46)=4),$M46/4,IF(AND(AM46=1,SUM($AJ46:$AO46)=3),$M46/3,IF(AND(AM46=1,SUM($AJ46:$AO46)=2),$M46/2,IF(AND(AM46=1,SUM($AJ46:$AO46)=1),$M46,0))))))</f>
        <v>1021500</v>
      </c>
      <c r="AT46" s="28" t="n">
        <f aca="false">IF(AND(AN46=1,SUM($AJ46:$AO46)=6),$M46/6,IF(AND(AN46=1,SUM($AJ46:$AO46)=5),$M46/5,IF(AND(AN46=1,SUM($AJ46:$AO46)=4),$M46/4,IF(AND(AN46=1,SUM($AJ46:$AO46)=3),$M46/3,IF(AND(AN46=1,SUM($AJ46:$AO46)=2),$M46/2,IF(AND(AN46=1,SUM($AJ46:$AO46)=1),$M46,0))))))</f>
        <v>0</v>
      </c>
      <c r="AU46" s="28" t="n">
        <f aca="false">IF(AND(AO46=1,SUM($AJ46:$AO46)=6),$M46/6,IF(AND(AO46=1,SUM($AJ46:$AO46)=5),$M46/5,IF(AND(AO46=1,SUM($AJ46:$AO46)=4),$M46/4,IF(AND(AO46=1,SUM($AJ46:$AO46)=3),$M46/3,IF(AND(AO46=1,SUM($AJ46:$AO46)=2),$M46/2,IF(AND(AO46=1,SUM($AJ46:$AO46)=1),$M46,0))))))</f>
        <v>0</v>
      </c>
      <c r="AV46" s="29" t="s">
        <v>114</v>
      </c>
      <c r="AW46" s="30"/>
      <c r="AX46" s="29" t="s">
        <v>114</v>
      </c>
      <c r="AY46" s="30"/>
      <c r="AZ46" s="29" t="s">
        <v>116</v>
      </c>
      <c r="BA46" s="30" t="s">
        <v>365</v>
      </c>
      <c r="BB46" s="29" t="s">
        <v>114</v>
      </c>
      <c r="BC46" s="29" t="s">
        <v>229</v>
      </c>
      <c r="BD46" s="29" t="s">
        <v>117</v>
      </c>
      <c r="BE46" s="29" t="s">
        <v>366</v>
      </c>
      <c r="BF46" s="29" t="s">
        <v>117</v>
      </c>
      <c r="BG46" s="30" t="s">
        <v>119</v>
      </c>
    </row>
    <row r="47" customFormat="false" ht="39.55" hidden="false" customHeight="false" outlineLevel="0" collapsed="false">
      <c r="A47" s="20" t="n">
        <v>45</v>
      </c>
      <c r="B47" s="32" t="s">
        <v>15</v>
      </c>
      <c r="C47" s="20" t="s">
        <v>357</v>
      </c>
      <c r="D47" s="32" t="s">
        <v>367</v>
      </c>
      <c r="E47" s="32" t="s">
        <v>46</v>
      </c>
      <c r="F47" s="21" t="s">
        <v>4</v>
      </c>
      <c r="G47" s="21" t="s">
        <v>109</v>
      </c>
      <c r="H47" s="21" t="s">
        <v>368</v>
      </c>
      <c r="I47" s="22" t="s">
        <v>111</v>
      </c>
      <c r="J47" s="22" t="s">
        <v>16</v>
      </c>
      <c r="K47" s="23" t="s">
        <v>130</v>
      </c>
      <c r="L47" s="24" t="n">
        <f aca="false">M47*3600</f>
        <v>3679200000</v>
      </c>
      <c r="M47" s="25" t="n">
        <v>1022000</v>
      </c>
      <c r="N47" s="21"/>
      <c r="O47" s="21" t="s">
        <v>369</v>
      </c>
      <c r="P47" s="21" t="s">
        <v>285</v>
      </c>
      <c r="Q47" s="21"/>
      <c r="R47" s="27" t="n">
        <v>1</v>
      </c>
      <c r="S47" s="27" t="n">
        <v>1</v>
      </c>
      <c r="T47" s="27" t="n">
        <v>1</v>
      </c>
      <c r="U47" s="27" t="n">
        <v>1</v>
      </c>
      <c r="V47" s="27" t="n">
        <v>1</v>
      </c>
      <c r="W47" s="27" t="n">
        <v>1</v>
      </c>
      <c r="X47" s="27" t="n">
        <v>1</v>
      </c>
      <c r="Y47" s="27" t="n">
        <v>1</v>
      </c>
      <c r="Z47" s="27" t="n">
        <v>1</v>
      </c>
      <c r="AA47" s="27" t="n">
        <v>1</v>
      </c>
      <c r="AB47" s="27" t="n">
        <v>1</v>
      </c>
      <c r="AC47" s="27" t="n">
        <v>1</v>
      </c>
      <c r="AD47" s="27" t="n">
        <v>1</v>
      </c>
      <c r="AE47" s="27" t="n">
        <v>1</v>
      </c>
      <c r="AF47" s="27" t="n">
        <v>1</v>
      </c>
      <c r="AG47" s="27" t="n">
        <v>1</v>
      </c>
      <c r="AH47" s="27" t="n">
        <v>1</v>
      </c>
      <c r="AI47" s="27" t="n">
        <v>1</v>
      </c>
      <c r="AJ47" s="22" t="n">
        <f aca="false">IF(SUM(R47:T47)&gt;0,1,0)</f>
        <v>1</v>
      </c>
      <c r="AK47" s="22" t="n">
        <f aca="false">IF(SUM(U47:W47)&gt;0,1,0)</f>
        <v>1</v>
      </c>
      <c r="AL47" s="22" t="n">
        <f aca="false">IF(SUM(X47:Z47)&gt;0,1,0)</f>
        <v>1</v>
      </c>
      <c r="AM47" s="22" t="n">
        <f aca="false">IF(SUM(AA47:AC47)&gt;0,1,0)</f>
        <v>1</v>
      </c>
      <c r="AN47" s="22" t="n">
        <f aca="false">IF(SUM(AD47:AF47)&gt;0,1,0)</f>
        <v>1</v>
      </c>
      <c r="AO47" s="22" t="n">
        <f aca="false">IF(SUM(AG47:AI47)&gt;0,1,0)</f>
        <v>1</v>
      </c>
      <c r="AP47" s="28" t="n">
        <f aca="false">IF(AND(AJ47=1,SUM($AJ47:$AO47)=6),$M47/6,IF(AND(AJ47=1,SUM($AJ47:$AO47)=5),$M47/5,IF(AND(AJ47=1,SUM($AJ47:$AO47)=4),$M47/4,IF(AND(AJ47=1,SUM($AJ47:$AO47)=3),$M47/3,IF(AND(AJ47=1,SUM($AJ47:$AO47)=2),$M47/2,IF(AND(AJ47=1,SUM($AJ47:$AO47)=1),$M47,0))))))</f>
        <v>170333.333333333</v>
      </c>
      <c r="AQ47" s="28" t="n">
        <f aca="false">IF(AND(AK47=1,SUM($AJ47:$AO47)=6),$M47/6,IF(AND(AK47=1,SUM($AJ47:$AO47)=5),$M47/5,IF(AND(AK47=1,SUM($AJ47:$AO47)=4),$M47/4,IF(AND(AK47=1,SUM($AJ47:$AO47)=3),$M47/3,IF(AND(AK47=1,SUM($AJ47:$AO47)=2),$M47/2,IF(AND(AK47=1,SUM($AJ47:$AO47)=1),$M47,0))))))</f>
        <v>170333.333333333</v>
      </c>
      <c r="AR47" s="28" t="n">
        <f aca="false">IF(AND(AL47=1,SUM($AJ47:$AO47)=6),$M47/6,IF(AND(AL47=1,SUM($AJ47:$AO47)=5),$M47/5,IF(AND(AL47=1,SUM($AJ47:$AO47)=4),$M47/4,IF(AND(AL47=1,SUM($AJ47:$AO47)=3),$M47/3,IF(AND(AL47=1,SUM($AJ47:$AO47)=2),$M47/2,IF(AND(AL47=1,SUM($AJ47:$AO47)=1),$M47,0))))))</f>
        <v>170333.333333333</v>
      </c>
      <c r="AS47" s="28" t="n">
        <f aca="false">IF(AND(AM47=1,SUM($AJ47:$AO47)=6),$M47/6,IF(AND(AM47=1,SUM($AJ47:$AO47)=5),$M47/5,IF(AND(AM47=1,SUM($AJ47:$AO47)=4),$M47/4,IF(AND(AM47=1,SUM($AJ47:$AO47)=3),$M47/3,IF(AND(AM47=1,SUM($AJ47:$AO47)=2),$M47/2,IF(AND(AM47=1,SUM($AJ47:$AO47)=1),$M47,0))))))</f>
        <v>170333.333333333</v>
      </c>
      <c r="AT47" s="28" t="n">
        <f aca="false">IF(AND(AN47=1,SUM($AJ47:$AO47)=6),$M47/6,IF(AND(AN47=1,SUM($AJ47:$AO47)=5),$M47/5,IF(AND(AN47=1,SUM($AJ47:$AO47)=4),$M47/4,IF(AND(AN47=1,SUM($AJ47:$AO47)=3),$M47/3,IF(AND(AN47=1,SUM($AJ47:$AO47)=2),$M47/2,IF(AND(AN47=1,SUM($AJ47:$AO47)=1),$M47,0))))))</f>
        <v>170333.333333333</v>
      </c>
      <c r="AU47" s="28" t="n">
        <f aca="false">IF(AND(AO47=1,SUM($AJ47:$AO47)=6),$M47/6,IF(AND(AO47=1,SUM($AJ47:$AO47)=5),$M47/5,IF(AND(AO47=1,SUM($AJ47:$AO47)=4),$M47/4,IF(AND(AO47=1,SUM($AJ47:$AO47)=3),$M47/3,IF(AND(AO47=1,SUM($AJ47:$AO47)=2),$M47/2,IF(AND(AO47=1,SUM($AJ47:$AO47)=1),$M47,0))))))</f>
        <v>170333.333333333</v>
      </c>
      <c r="AV47" s="29" t="s">
        <v>114</v>
      </c>
      <c r="AW47" s="29"/>
      <c r="AX47" s="29" t="s">
        <v>114</v>
      </c>
      <c r="AY47" s="30"/>
      <c r="AZ47" s="29" t="s">
        <v>116</v>
      </c>
      <c r="BA47" s="30" t="s">
        <v>370</v>
      </c>
      <c r="BB47" s="29" t="s">
        <v>114</v>
      </c>
      <c r="BC47" s="29" t="s">
        <v>237</v>
      </c>
      <c r="BD47" s="29" t="s">
        <v>117</v>
      </c>
      <c r="BE47" s="29" t="s">
        <v>371</v>
      </c>
      <c r="BF47" s="29" t="s">
        <v>117</v>
      </c>
      <c r="BG47" s="30" t="s">
        <v>119</v>
      </c>
    </row>
    <row r="48" customFormat="false" ht="39.55" hidden="false" customHeight="false" outlineLevel="0" collapsed="false">
      <c r="A48" s="20" t="n">
        <v>46</v>
      </c>
      <c r="B48" s="32" t="s">
        <v>15</v>
      </c>
      <c r="C48" s="20" t="s">
        <v>357</v>
      </c>
      <c r="D48" s="32" t="s">
        <v>372</v>
      </c>
      <c r="E48" s="32" t="s">
        <v>46</v>
      </c>
      <c r="F48" s="21" t="s">
        <v>4</v>
      </c>
      <c r="G48" s="21" t="s">
        <v>109</v>
      </c>
      <c r="H48" s="21" t="s">
        <v>373</v>
      </c>
      <c r="I48" s="22" t="s">
        <v>111</v>
      </c>
      <c r="J48" s="22" t="s">
        <v>18</v>
      </c>
      <c r="K48" s="23" t="s">
        <v>16</v>
      </c>
      <c r="L48" s="24" t="n">
        <f aca="false">M48*3600</f>
        <v>3681000000</v>
      </c>
      <c r="M48" s="25" t="n">
        <v>1022500</v>
      </c>
      <c r="N48" s="21"/>
      <c r="O48" s="31" t="n">
        <v>44013</v>
      </c>
      <c r="P48" s="21" t="s">
        <v>285</v>
      </c>
      <c r="Q48" s="21"/>
      <c r="R48" s="26"/>
      <c r="S48" s="26"/>
      <c r="T48" s="26"/>
      <c r="U48" s="26"/>
      <c r="V48" s="26"/>
      <c r="W48" s="26"/>
      <c r="X48" s="27" t="n">
        <v>1</v>
      </c>
      <c r="Y48" s="26"/>
      <c r="Z48" s="26"/>
      <c r="AA48" s="26"/>
      <c r="AB48" s="26"/>
      <c r="AC48" s="26"/>
      <c r="AD48" s="26"/>
      <c r="AE48" s="26"/>
      <c r="AF48" s="26"/>
      <c r="AG48" s="26"/>
      <c r="AH48" s="26"/>
      <c r="AI48" s="26"/>
      <c r="AJ48" s="22" t="n">
        <f aca="false">IF(SUM(R48:T48)&gt;0,1,0)</f>
        <v>0</v>
      </c>
      <c r="AK48" s="22" t="n">
        <f aca="false">IF(SUM(U48:W48)&gt;0,1,0)</f>
        <v>0</v>
      </c>
      <c r="AL48" s="22" t="n">
        <f aca="false">IF(SUM(X48:Z48)&gt;0,1,0)</f>
        <v>1</v>
      </c>
      <c r="AM48" s="22" t="n">
        <f aca="false">IF(SUM(AA48:AC48)&gt;0,1,0)</f>
        <v>0</v>
      </c>
      <c r="AN48" s="22" t="n">
        <f aca="false">IF(SUM(AD48:AF48)&gt;0,1,0)</f>
        <v>0</v>
      </c>
      <c r="AO48" s="22" t="n">
        <f aca="false">IF(SUM(AG48:AI48)&gt;0,1,0)</f>
        <v>0</v>
      </c>
      <c r="AP48" s="28" t="n">
        <f aca="false">IF(AND(AJ48=1,SUM($AJ48:$AO48)=6),$M48/6,IF(AND(AJ48=1,SUM($AJ48:$AO48)=5),$M48/5,IF(AND(AJ48=1,SUM($AJ48:$AO48)=4),$M48/4,IF(AND(AJ48=1,SUM($AJ48:$AO48)=3),$M48/3,IF(AND(AJ48=1,SUM($AJ48:$AO48)=2),$M48/2,IF(AND(AJ48=1,SUM($AJ48:$AO48)=1),$M48,0))))))</f>
        <v>0</v>
      </c>
      <c r="AQ48" s="28" t="n">
        <f aca="false">IF(AND(AK48=1,SUM($AJ48:$AO48)=6),$M48/6,IF(AND(AK48=1,SUM($AJ48:$AO48)=5),$M48/5,IF(AND(AK48=1,SUM($AJ48:$AO48)=4),$M48/4,IF(AND(AK48=1,SUM($AJ48:$AO48)=3),$M48/3,IF(AND(AK48=1,SUM($AJ48:$AO48)=2),$M48/2,IF(AND(AK48=1,SUM($AJ48:$AO48)=1),$M48,0))))))</f>
        <v>0</v>
      </c>
      <c r="AR48" s="28" t="n">
        <f aca="false">IF(AND(AL48=1,SUM($AJ48:$AO48)=6),$M48/6,IF(AND(AL48=1,SUM($AJ48:$AO48)=5),$M48/5,IF(AND(AL48=1,SUM($AJ48:$AO48)=4),$M48/4,IF(AND(AL48=1,SUM($AJ48:$AO48)=3),$M48/3,IF(AND(AL48=1,SUM($AJ48:$AO48)=2),$M48/2,IF(AND(AL48=1,SUM($AJ48:$AO48)=1),$M48,0))))))</f>
        <v>1022500</v>
      </c>
      <c r="AS48" s="28" t="n">
        <f aca="false">IF(AND(AM48=1,SUM($AJ48:$AO48)=6),$M48/6,IF(AND(AM48=1,SUM($AJ48:$AO48)=5),$M48/5,IF(AND(AM48=1,SUM($AJ48:$AO48)=4),$M48/4,IF(AND(AM48=1,SUM($AJ48:$AO48)=3),$M48/3,IF(AND(AM48=1,SUM($AJ48:$AO48)=2),$M48/2,IF(AND(AM48=1,SUM($AJ48:$AO48)=1),$M48,0))))))</f>
        <v>0</v>
      </c>
      <c r="AT48" s="28" t="n">
        <f aca="false">IF(AND(AN48=1,SUM($AJ48:$AO48)=6),$M48/6,IF(AND(AN48=1,SUM($AJ48:$AO48)=5),$M48/5,IF(AND(AN48=1,SUM($AJ48:$AO48)=4),$M48/4,IF(AND(AN48=1,SUM($AJ48:$AO48)=3),$M48/3,IF(AND(AN48=1,SUM($AJ48:$AO48)=2),$M48/2,IF(AND(AN48=1,SUM($AJ48:$AO48)=1),$M48,0))))))</f>
        <v>0</v>
      </c>
      <c r="AU48" s="28" t="n">
        <f aca="false">IF(AND(AO48=1,SUM($AJ48:$AO48)=6),$M48/6,IF(AND(AO48=1,SUM($AJ48:$AO48)=5),$M48/5,IF(AND(AO48=1,SUM($AJ48:$AO48)=4),$M48/4,IF(AND(AO48=1,SUM($AJ48:$AO48)=3),$M48/3,IF(AND(AO48=1,SUM($AJ48:$AO48)=2),$M48/2,IF(AND(AO48=1,SUM($AJ48:$AO48)=1),$M48,0))))))</f>
        <v>0</v>
      </c>
      <c r="AV48" s="29" t="s">
        <v>114</v>
      </c>
      <c r="AW48" s="29"/>
      <c r="AX48" s="29" t="s">
        <v>114</v>
      </c>
      <c r="AY48" s="30"/>
      <c r="AZ48" s="29" t="s">
        <v>116</v>
      </c>
      <c r="BA48" s="30" t="s">
        <v>374</v>
      </c>
      <c r="BB48" s="29" t="s">
        <v>114</v>
      </c>
      <c r="BC48" s="29" t="s">
        <v>241</v>
      </c>
      <c r="BD48" s="29" t="s">
        <v>117</v>
      </c>
      <c r="BE48" s="29" t="s">
        <v>375</v>
      </c>
      <c r="BF48" s="29" t="s">
        <v>114</v>
      </c>
      <c r="BG48" s="30" t="s">
        <v>119</v>
      </c>
    </row>
    <row r="49" customFormat="false" ht="39.55" hidden="false" customHeight="false" outlineLevel="0" collapsed="false">
      <c r="A49" s="20" t="n">
        <v>47</v>
      </c>
      <c r="B49" s="32" t="s">
        <v>15</v>
      </c>
      <c r="C49" s="20" t="s">
        <v>357</v>
      </c>
      <c r="D49" s="32" t="s">
        <v>376</v>
      </c>
      <c r="E49" s="32" t="s">
        <v>46</v>
      </c>
      <c r="F49" s="21" t="s">
        <v>4</v>
      </c>
      <c r="G49" s="21" t="s">
        <v>109</v>
      </c>
      <c r="H49" s="21" t="s">
        <v>368</v>
      </c>
      <c r="I49" s="22" t="s">
        <v>111</v>
      </c>
      <c r="J49" s="22" t="s">
        <v>16</v>
      </c>
      <c r="K49" s="23" t="s">
        <v>122</v>
      </c>
      <c r="L49" s="24" t="n">
        <f aca="false">M49*3600</f>
        <v>3682800000</v>
      </c>
      <c r="M49" s="25" t="n">
        <v>1023000</v>
      </c>
      <c r="N49" s="21"/>
      <c r="O49" s="21" t="s">
        <v>377</v>
      </c>
      <c r="P49" s="21" t="s">
        <v>285</v>
      </c>
      <c r="Q49" s="21"/>
      <c r="R49" s="27" t="n">
        <v>1</v>
      </c>
      <c r="S49" s="27" t="n">
        <v>1</v>
      </c>
      <c r="T49" s="27" t="n">
        <v>1</v>
      </c>
      <c r="U49" s="27" t="n">
        <v>1</v>
      </c>
      <c r="V49" s="27" t="n">
        <v>1</v>
      </c>
      <c r="W49" s="27" t="n">
        <v>1</v>
      </c>
      <c r="X49" s="27" t="n">
        <v>1</v>
      </c>
      <c r="Y49" s="27" t="n">
        <v>1</v>
      </c>
      <c r="Z49" s="27" t="n">
        <v>1</v>
      </c>
      <c r="AA49" s="27" t="n">
        <v>1</v>
      </c>
      <c r="AB49" s="27" t="n">
        <v>1</v>
      </c>
      <c r="AC49" s="27" t="n">
        <v>1</v>
      </c>
      <c r="AD49" s="27" t="n">
        <v>1</v>
      </c>
      <c r="AE49" s="27" t="n">
        <v>1</v>
      </c>
      <c r="AF49" s="27" t="n">
        <v>1</v>
      </c>
      <c r="AG49" s="27" t="n">
        <v>1</v>
      </c>
      <c r="AH49" s="27" t="n">
        <v>1</v>
      </c>
      <c r="AI49" s="27" t="n">
        <v>1</v>
      </c>
      <c r="AJ49" s="22" t="n">
        <f aca="false">IF(SUM(R49:T49)&gt;0,1,0)</f>
        <v>1</v>
      </c>
      <c r="AK49" s="22" t="n">
        <f aca="false">IF(SUM(U49:W49)&gt;0,1,0)</f>
        <v>1</v>
      </c>
      <c r="AL49" s="22" t="n">
        <f aca="false">IF(SUM(X49:Z49)&gt;0,1,0)</f>
        <v>1</v>
      </c>
      <c r="AM49" s="22" t="n">
        <f aca="false">IF(SUM(AA49:AC49)&gt;0,1,0)</f>
        <v>1</v>
      </c>
      <c r="AN49" s="22" t="n">
        <f aca="false">IF(SUM(AD49:AF49)&gt;0,1,0)</f>
        <v>1</v>
      </c>
      <c r="AO49" s="22" t="n">
        <f aca="false">IF(SUM(AG49:AI49)&gt;0,1,0)</f>
        <v>1</v>
      </c>
      <c r="AP49" s="28" t="n">
        <f aca="false">IF(AND(AJ49=1,SUM($AJ49:$AO49)=6),$M49/6,IF(AND(AJ49=1,SUM($AJ49:$AO49)=5),$M49/5,IF(AND(AJ49=1,SUM($AJ49:$AO49)=4),$M49/4,IF(AND(AJ49=1,SUM($AJ49:$AO49)=3),$M49/3,IF(AND(AJ49=1,SUM($AJ49:$AO49)=2),$M49/2,IF(AND(AJ49=1,SUM($AJ49:$AO49)=1),$M49,0))))))</f>
        <v>170500</v>
      </c>
      <c r="AQ49" s="28" t="n">
        <f aca="false">IF(AND(AK49=1,SUM($AJ49:$AO49)=6),$M49/6,IF(AND(AK49=1,SUM($AJ49:$AO49)=5),$M49/5,IF(AND(AK49=1,SUM($AJ49:$AO49)=4),$M49/4,IF(AND(AK49=1,SUM($AJ49:$AO49)=3),$M49/3,IF(AND(AK49=1,SUM($AJ49:$AO49)=2),$M49/2,IF(AND(AK49=1,SUM($AJ49:$AO49)=1),$M49,0))))))</f>
        <v>170500</v>
      </c>
      <c r="AR49" s="28" t="n">
        <f aca="false">IF(AND(AL49=1,SUM($AJ49:$AO49)=6),$M49/6,IF(AND(AL49=1,SUM($AJ49:$AO49)=5),$M49/5,IF(AND(AL49=1,SUM($AJ49:$AO49)=4),$M49/4,IF(AND(AL49=1,SUM($AJ49:$AO49)=3),$M49/3,IF(AND(AL49=1,SUM($AJ49:$AO49)=2),$M49/2,IF(AND(AL49=1,SUM($AJ49:$AO49)=1),$M49,0))))))</f>
        <v>170500</v>
      </c>
      <c r="AS49" s="28" t="n">
        <f aca="false">IF(AND(AM49=1,SUM($AJ49:$AO49)=6),$M49/6,IF(AND(AM49=1,SUM($AJ49:$AO49)=5),$M49/5,IF(AND(AM49=1,SUM($AJ49:$AO49)=4),$M49/4,IF(AND(AM49=1,SUM($AJ49:$AO49)=3),$M49/3,IF(AND(AM49=1,SUM($AJ49:$AO49)=2),$M49/2,IF(AND(AM49=1,SUM($AJ49:$AO49)=1),$M49,0))))))</f>
        <v>170500</v>
      </c>
      <c r="AT49" s="28" t="n">
        <f aca="false">IF(AND(AN49=1,SUM($AJ49:$AO49)=6),$M49/6,IF(AND(AN49=1,SUM($AJ49:$AO49)=5),$M49/5,IF(AND(AN49=1,SUM($AJ49:$AO49)=4),$M49/4,IF(AND(AN49=1,SUM($AJ49:$AO49)=3),$M49/3,IF(AND(AN49=1,SUM($AJ49:$AO49)=2),$M49/2,IF(AND(AN49=1,SUM($AJ49:$AO49)=1),$M49,0))))))</f>
        <v>170500</v>
      </c>
      <c r="AU49" s="28" t="n">
        <f aca="false">IF(AND(AO49=1,SUM($AJ49:$AO49)=6),$M49/6,IF(AND(AO49=1,SUM($AJ49:$AO49)=5),$M49/5,IF(AND(AO49=1,SUM($AJ49:$AO49)=4),$M49/4,IF(AND(AO49=1,SUM($AJ49:$AO49)=3),$M49/3,IF(AND(AO49=1,SUM($AJ49:$AO49)=2),$M49/2,IF(AND(AO49=1,SUM($AJ49:$AO49)=1),$M49,0))))))</f>
        <v>170500</v>
      </c>
      <c r="AV49" s="29" t="s">
        <v>114</v>
      </c>
      <c r="AW49" s="29"/>
      <c r="AX49" s="29" t="s">
        <v>114</v>
      </c>
      <c r="AY49" s="30"/>
      <c r="AZ49" s="29" t="s">
        <v>116</v>
      </c>
      <c r="BA49" s="30" t="s">
        <v>378</v>
      </c>
      <c r="BB49" s="29" t="s">
        <v>114</v>
      </c>
      <c r="BC49" s="29" t="s">
        <v>246</v>
      </c>
      <c r="BD49" s="29" t="s">
        <v>117</v>
      </c>
      <c r="BE49" s="29" t="s">
        <v>379</v>
      </c>
      <c r="BF49" s="29" t="s">
        <v>114</v>
      </c>
      <c r="BG49" s="30" t="s">
        <v>119</v>
      </c>
    </row>
    <row r="50" customFormat="false" ht="39.55" hidden="false" customHeight="false" outlineLevel="0" collapsed="false">
      <c r="A50" s="20" t="n">
        <v>48</v>
      </c>
      <c r="B50" s="32" t="s">
        <v>15</v>
      </c>
      <c r="C50" s="20" t="s">
        <v>293</v>
      </c>
      <c r="D50" s="32" t="s">
        <v>380</v>
      </c>
      <c r="E50" s="32" t="s">
        <v>46</v>
      </c>
      <c r="F50" s="21" t="s">
        <v>4</v>
      </c>
      <c r="G50" s="21" t="s">
        <v>109</v>
      </c>
      <c r="H50" s="21" t="s">
        <v>368</v>
      </c>
      <c r="I50" s="22" t="s">
        <v>111</v>
      </c>
      <c r="J50" s="22" t="s">
        <v>16</v>
      </c>
      <c r="K50" s="23" t="s">
        <v>130</v>
      </c>
      <c r="L50" s="24" t="n">
        <f aca="false">M50*3600</f>
        <v>3684600000</v>
      </c>
      <c r="M50" s="25" t="n">
        <v>1023500</v>
      </c>
      <c r="N50" s="21"/>
      <c r="O50" s="21" t="s">
        <v>377</v>
      </c>
      <c r="P50" s="21" t="s">
        <v>285</v>
      </c>
      <c r="Q50" s="21"/>
      <c r="R50" s="27" t="n">
        <v>1</v>
      </c>
      <c r="S50" s="27" t="n">
        <v>1</v>
      </c>
      <c r="T50" s="27" t="n">
        <v>1</v>
      </c>
      <c r="U50" s="27" t="n">
        <v>1</v>
      </c>
      <c r="V50" s="27" t="n">
        <v>1</v>
      </c>
      <c r="W50" s="27" t="n">
        <v>1</v>
      </c>
      <c r="X50" s="27" t="n">
        <v>1</v>
      </c>
      <c r="Y50" s="27" t="n">
        <v>1</v>
      </c>
      <c r="Z50" s="27" t="n">
        <v>1</v>
      </c>
      <c r="AA50" s="27" t="n">
        <v>1</v>
      </c>
      <c r="AB50" s="27" t="n">
        <v>1</v>
      </c>
      <c r="AC50" s="27" t="n">
        <v>1</v>
      </c>
      <c r="AD50" s="27" t="n">
        <v>1</v>
      </c>
      <c r="AE50" s="27" t="n">
        <v>1</v>
      </c>
      <c r="AF50" s="27" t="n">
        <v>1</v>
      </c>
      <c r="AG50" s="27" t="n">
        <v>1</v>
      </c>
      <c r="AH50" s="27" t="n">
        <v>1</v>
      </c>
      <c r="AI50" s="27" t="n">
        <v>1</v>
      </c>
      <c r="AJ50" s="22" t="n">
        <f aca="false">IF(SUM(R50:T50)&gt;0,1,0)</f>
        <v>1</v>
      </c>
      <c r="AK50" s="22" t="n">
        <f aca="false">IF(SUM(U50:W50)&gt;0,1,0)</f>
        <v>1</v>
      </c>
      <c r="AL50" s="22" t="n">
        <f aca="false">IF(SUM(X50:Z50)&gt;0,1,0)</f>
        <v>1</v>
      </c>
      <c r="AM50" s="22" t="n">
        <f aca="false">IF(SUM(AA50:AC50)&gt;0,1,0)</f>
        <v>1</v>
      </c>
      <c r="AN50" s="22" t="n">
        <f aca="false">IF(SUM(AD50:AF50)&gt;0,1,0)</f>
        <v>1</v>
      </c>
      <c r="AO50" s="22" t="n">
        <f aca="false">IF(SUM(AG50:AI50)&gt;0,1,0)</f>
        <v>1</v>
      </c>
      <c r="AP50" s="28" t="n">
        <f aca="false">IF(AND(AJ50=1,SUM($AJ50:$AO50)=6),$M50/6,IF(AND(AJ50=1,SUM($AJ50:$AO50)=5),$M50/5,IF(AND(AJ50=1,SUM($AJ50:$AO50)=4),$M50/4,IF(AND(AJ50=1,SUM($AJ50:$AO50)=3),$M50/3,IF(AND(AJ50=1,SUM($AJ50:$AO50)=2),$M50/2,IF(AND(AJ50=1,SUM($AJ50:$AO50)=1),$M50,0))))))</f>
        <v>170583.333333333</v>
      </c>
      <c r="AQ50" s="28" t="n">
        <f aca="false">IF(AND(AK50=1,SUM($AJ50:$AO50)=6),$M50/6,IF(AND(AK50=1,SUM($AJ50:$AO50)=5),$M50/5,IF(AND(AK50=1,SUM($AJ50:$AO50)=4),$M50/4,IF(AND(AK50=1,SUM($AJ50:$AO50)=3),$M50/3,IF(AND(AK50=1,SUM($AJ50:$AO50)=2),$M50/2,IF(AND(AK50=1,SUM($AJ50:$AO50)=1),$M50,0))))))</f>
        <v>170583.333333333</v>
      </c>
      <c r="AR50" s="28" t="n">
        <f aca="false">IF(AND(AL50=1,SUM($AJ50:$AO50)=6),$M50/6,IF(AND(AL50=1,SUM($AJ50:$AO50)=5),$M50/5,IF(AND(AL50=1,SUM($AJ50:$AO50)=4),$M50/4,IF(AND(AL50=1,SUM($AJ50:$AO50)=3),$M50/3,IF(AND(AL50=1,SUM($AJ50:$AO50)=2),$M50/2,IF(AND(AL50=1,SUM($AJ50:$AO50)=1),$M50,0))))))</f>
        <v>170583.333333333</v>
      </c>
      <c r="AS50" s="28" t="n">
        <f aca="false">IF(AND(AM50=1,SUM($AJ50:$AO50)=6),$M50/6,IF(AND(AM50=1,SUM($AJ50:$AO50)=5),$M50/5,IF(AND(AM50=1,SUM($AJ50:$AO50)=4),$M50/4,IF(AND(AM50=1,SUM($AJ50:$AO50)=3),$M50/3,IF(AND(AM50=1,SUM($AJ50:$AO50)=2),$M50/2,IF(AND(AM50=1,SUM($AJ50:$AO50)=1),$M50,0))))))</f>
        <v>170583.333333333</v>
      </c>
      <c r="AT50" s="28" t="n">
        <f aca="false">IF(AND(AN50=1,SUM($AJ50:$AO50)=6),$M50/6,IF(AND(AN50=1,SUM($AJ50:$AO50)=5),$M50/5,IF(AND(AN50=1,SUM($AJ50:$AO50)=4),$M50/4,IF(AND(AN50=1,SUM($AJ50:$AO50)=3),$M50/3,IF(AND(AN50=1,SUM($AJ50:$AO50)=2),$M50/2,IF(AND(AN50=1,SUM($AJ50:$AO50)=1),$M50,0))))))</f>
        <v>170583.333333333</v>
      </c>
      <c r="AU50" s="28" t="n">
        <f aca="false">IF(AND(AO50=1,SUM($AJ50:$AO50)=6),$M50/6,IF(AND(AO50=1,SUM($AJ50:$AO50)=5),$M50/5,IF(AND(AO50=1,SUM($AJ50:$AO50)=4),$M50/4,IF(AND(AO50=1,SUM($AJ50:$AO50)=3),$M50/3,IF(AND(AO50=1,SUM($AJ50:$AO50)=2),$M50/2,IF(AND(AO50=1,SUM($AJ50:$AO50)=1),$M50,0))))))</f>
        <v>170583.333333333</v>
      </c>
      <c r="AV50" s="29" t="s">
        <v>114</v>
      </c>
      <c r="AW50" s="29"/>
      <c r="AX50" s="29" t="s">
        <v>114</v>
      </c>
      <c r="AY50" s="30"/>
      <c r="AZ50" s="29" t="s">
        <v>116</v>
      </c>
      <c r="BA50" s="30" t="s">
        <v>381</v>
      </c>
      <c r="BB50" s="29" t="s">
        <v>116</v>
      </c>
      <c r="BC50" s="29" t="s">
        <v>251</v>
      </c>
      <c r="BD50" s="29" t="s">
        <v>117</v>
      </c>
      <c r="BE50" s="29" t="s">
        <v>382</v>
      </c>
      <c r="BF50" s="29" t="s">
        <v>116</v>
      </c>
      <c r="BG50" s="30" t="s">
        <v>119</v>
      </c>
    </row>
    <row r="51" customFormat="false" ht="39.55" hidden="false" customHeight="false" outlineLevel="0" collapsed="false">
      <c r="A51" s="20" t="n">
        <v>49</v>
      </c>
      <c r="B51" s="33" t="s">
        <v>15</v>
      </c>
      <c r="C51" s="20" t="s">
        <v>383</v>
      </c>
      <c r="D51" s="32" t="s">
        <v>384</v>
      </c>
      <c r="E51" s="32" t="s">
        <v>46</v>
      </c>
      <c r="F51" s="21" t="s">
        <v>4</v>
      </c>
      <c r="G51" s="21" t="s">
        <v>109</v>
      </c>
      <c r="H51" s="21" t="s">
        <v>283</v>
      </c>
      <c r="I51" s="22" t="s">
        <v>111</v>
      </c>
      <c r="J51" s="22" t="s">
        <v>16</v>
      </c>
      <c r="K51" s="23" t="s">
        <v>16</v>
      </c>
      <c r="L51" s="24" t="n">
        <f aca="false">M51*3600</f>
        <v>3686400000</v>
      </c>
      <c r="M51" s="25" t="n">
        <v>1024000</v>
      </c>
      <c r="N51" s="21"/>
      <c r="O51" s="31" t="n">
        <v>43831</v>
      </c>
      <c r="P51" s="21" t="s">
        <v>385</v>
      </c>
      <c r="Q51" s="21"/>
      <c r="R51" s="27" t="n">
        <v>1</v>
      </c>
      <c r="S51" s="26"/>
      <c r="T51" s="26"/>
      <c r="U51" s="26"/>
      <c r="V51" s="26"/>
      <c r="W51" s="26"/>
      <c r="X51" s="26"/>
      <c r="Y51" s="26"/>
      <c r="Z51" s="26"/>
      <c r="AA51" s="26"/>
      <c r="AB51" s="26"/>
      <c r="AC51" s="26"/>
      <c r="AD51" s="26"/>
      <c r="AE51" s="26"/>
      <c r="AF51" s="26"/>
      <c r="AG51" s="26"/>
      <c r="AH51" s="26"/>
      <c r="AI51" s="26"/>
      <c r="AJ51" s="22" t="n">
        <f aca="false">IF(SUM(R51:T51)&gt;0,1,0)</f>
        <v>1</v>
      </c>
      <c r="AK51" s="22" t="n">
        <f aca="false">IF(SUM(U51:W51)&gt;0,1,0)</f>
        <v>0</v>
      </c>
      <c r="AL51" s="22" t="n">
        <f aca="false">IF(SUM(X51:Z51)&gt;0,1,0)</f>
        <v>0</v>
      </c>
      <c r="AM51" s="22" t="n">
        <f aca="false">IF(SUM(AA51:AC51)&gt;0,1,0)</f>
        <v>0</v>
      </c>
      <c r="AN51" s="22" t="n">
        <f aca="false">IF(SUM(AD51:AF51)&gt;0,1,0)</f>
        <v>0</v>
      </c>
      <c r="AO51" s="22" t="n">
        <f aca="false">IF(SUM(AG51:AI51)&gt;0,1,0)</f>
        <v>0</v>
      </c>
      <c r="AP51" s="28" t="n">
        <f aca="false">IF(AND(AJ51=1,SUM($AJ51:$AO51)=6),$M51/6,IF(AND(AJ51=1,SUM($AJ51:$AO51)=5),$M51/5,IF(AND(AJ51=1,SUM($AJ51:$AO51)=4),$M51/4,IF(AND(AJ51=1,SUM($AJ51:$AO51)=3),$M51/3,IF(AND(AJ51=1,SUM($AJ51:$AO51)=2),$M51/2,IF(AND(AJ51=1,SUM($AJ51:$AO51)=1),$M51,0))))))</f>
        <v>1024000</v>
      </c>
      <c r="AQ51" s="28" t="n">
        <f aca="false">IF(AND(AK51=1,SUM($AJ51:$AO51)=6),$M51/6,IF(AND(AK51=1,SUM($AJ51:$AO51)=5),$M51/5,IF(AND(AK51=1,SUM($AJ51:$AO51)=4),$M51/4,IF(AND(AK51=1,SUM($AJ51:$AO51)=3),$M51/3,IF(AND(AK51=1,SUM($AJ51:$AO51)=2),$M51/2,IF(AND(AK51=1,SUM($AJ51:$AO51)=1),$M51,0))))))</f>
        <v>0</v>
      </c>
      <c r="AR51" s="28" t="n">
        <f aca="false">IF(AND(AL51=1,SUM($AJ51:$AO51)=6),$M51/6,IF(AND(AL51=1,SUM($AJ51:$AO51)=5),$M51/5,IF(AND(AL51=1,SUM($AJ51:$AO51)=4),$M51/4,IF(AND(AL51=1,SUM($AJ51:$AO51)=3),$M51/3,IF(AND(AL51=1,SUM($AJ51:$AO51)=2),$M51/2,IF(AND(AL51=1,SUM($AJ51:$AO51)=1),$M51,0))))))</f>
        <v>0</v>
      </c>
      <c r="AS51" s="28" t="n">
        <f aca="false">IF(AND(AM51=1,SUM($AJ51:$AO51)=6),$M51/6,IF(AND(AM51=1,SUM($AJ51:$AO51)=5),$M51/5,IF(AND(AM51=1,SUM($AJ51:$AO51)=4),$M51/4,IF(AND(AM51=1,SUM($AJ51:$AO51)=3),$M51/3,IF(AND(AM51=1,SUM($AJ51:$AO51)=2),$M51/2,IF(AND(AM51=1,SUM($AJ51:$AO51)=1),$M51,0))))))</f>
        <v>0</v>
      </c>
      <c r="AT51" s="28" t="n">
        <f aca="false">IF(AND(AN51=1,SUM($AJ51:$AO51)=6),$M51/6,IF(AND(AN51=1,SUM($AJ51:$AO51)=5),$M51/5,IF(AND(AN51=1,SUM($AJ51:$AO51)=4),$M51/4,IF(AND(AN51=1,SUM($AJ51:$AO51)=3),$M51/3,IF(AND(AN51=1,SUM($AJ51:$AO51)=2),$M51/2,IF(AND(AN51=1,SUM($AJ51:$AO51)=1),$M51,0))))))</f>
        <v>0</v>
      </c>
      <c r="AU51" s="28" t="n">
        <f aca="false">IF(AND(AO51=1,SUM($AJ51:$AO51)=6),$M51/6,IF(AND(AO51=1,SUM($AJ51:$AO51)=5),$M51/5,IF(AND(AO51=1,SUM($AJ51:$AO51)=4),$M51/4,IF(AND(AO51=1,SUM($AJ51:$AO51)=3),$M51/3,IF(AND(AO51=1,SUM($AJ51:$AO51)=2),$M51/2,IF(AND(AO51=1,SUM($AJ51:$AO51)=1),$M51,0))))))</f>
        <v>0</v>
      </c>
      <c r="AV51" s="29" t="s">
        <v>114</v>
      </c>
      <c r="AW51" s="29"/>
      <c r="AX51" s="29" t="s">
        <v>114</v>
      </c>
      <c r="AY51" s="30"/>
      <c r="AZ51" s="29" t="s">
        <v>117</v>
      </c>
      <c r="BA51" s="30" t="s">
        <v>386</v>
      </c>
      <c r="BB51" s="29" t="s">
        <v>116</v>
      </c>
      <c r="BC51" s="29" t="s">
        <v>257</v>
      </c>
      <c r="BD51" s="29" t="s">
        <v>117</v>
      </c>
      <c r="BE51" s="29" t="s">
        <v>387</v>
      </c>
      <c r="BF51" s="29" t="s">
        <v>116</v>
      </c>
      <c r="BG51" s="30" t="s">
        <v>119</v>
      </c>
    </row>
    <row r="52" customFormat="false" ht="39.55" hidden="false" customHeight="false" outlineLevel="0" collapsed="false">
      <c r="A52" s="20" t="n">
        <v>50</v>
      </c>
      <c r="B52" s="20" t="s">
        <v>15</v>
      </c>
      <c r="C52" s="20" t="s">
        <v>107</v>
      </c>
      <c r="D52" s="32" t="s">
        <v>388</v>
      </c>
      <c r="E52" s="36" t="s">
        <v>46</v>
      </c>
      <c r="F52" s="21" t="s">
        <v>4</v>
      </c>
      <c r="G52" s="21" t="s">
        <v>109</v>
      </c>
      <c r="H52" s="36" t="s">
        <v>389</v>
      </c>
      <c r="I52" s="22" t="s">
        <v>111</v>
      </c>
      <c r="J52" s="22" t="s">
        <v>18</v>
      </c>
      <c r="K52" s="23" t="s">
        <v>122</v>
      </c>
      <c r="L52" s="24" t="n">
        <f aca="false">M52*3600</f>
        <v>3688200000</v>
      </c>
      <c r="M52" s="25" t="n">
        <v>1024500</v>
      </c>
      <c r="N52" s="47"/>
      <c r="O52" s="21" t="s">
        <v>152</v>
      </c>
      <c r="P52" s="21" t="s">
        <v>385</v>
      </c>
      <c r="Q52" s="36"/>
      <c r="R52" s="26"/>
      <c r="S52" s="26"/>
      <c r="T52" s="26"/>
      <c r="U52" s="26"/>
      <c r="V52" s="26"/>
      <c r="W52" s="26"/>
      <c r="X52" s="26"/>
      <c r="Y52" s="26"/>
      <c r="Z52" s="26"/>
      <c r="AA52" s="26" t="n">
        <v>1</v>
      </c>
      <c r="AB52" s="26" t="n">
        <v>1</v>
      </c>
      <c r="AC52" s="26" t="n">
        <v>1</v>
      </c>
      <c r="AD52" s="26"/>
      <c r="AE52" s="26"/>
      <c r="AF52" s="26"/>
      <c r="AG52" s="26"/>
      <c r="AH52" s="26"/>
      <c r="AI52" s="26"/>
      <c r="AJ52" s="22" t="n">
        <f aca="false">IF(SUM(R52:T52)&gt;0,1,0)</f>
        <v>0</v>
      </c>
      <c r="AK52" s="22" t="n">
        <f aca="false">IF(SUM(U52:W52)&gt;0,1,0)</f>
        <v>0</v>
      </c>
      <c r="AL52" s="22" t="n">
        <f aca="false">IF(SUM(X52:Z52)&gt;0,1,0)</f>
        <v>0</v>
      </c>
      <c r="AM52" s="22" t="n">
        <f aca="false">IF(SUM(AA52:AC52)&gt;0,1,0)</f>
        <v>1</v>
      </c>
      <c r="AN52" s="22" t="n">
        <f aca="false">IF(SUM(AD52:AF52)&gt;0,1,0)</f>
        <v>0</v>
      </c>
      <c r="AO52" s="22" t="n">
        <f aca="false">IF(SUM(AG52:AI52)&gt;0,1,0)</f>
        <v>0</v>
      </c>
      <c r="AP52" s="28" t="n">
        <f aca="false">IF(AND(AJ52=1,SUM($AJ52:$AO52)=6),$M52/6,IF(AND(AJ52=1,SUM($AJ52:$AO52)=5),$M52/5,IF(AND(AJ52=1,SUM($AJ52:$AO52)=4),$M52/4,IF(AND(AJ52=1,SUM($AJ52:$AO52)=3),$M52/3,IF(AND(AJ52=1,SUM($AJ52:$AO52)=2),$M52/2,IF(AND(AJ52=1,SUM($AJ52:$AO52)=1),$M52,0))))))</f>
        <v>0</v>
      </c>
      <c r="AQ52" s="28" t="n">
        <f aca="false">IF(AND(AK52=1,SUM($AJ52:$AO52)=6),$M52/6,IF(AND(AK52=1,SUM($AJ52:$AO52)=5),$M52/5,IF(AND(AK52=1,SUM($AJ52:$AO52)=4),$M52/4,IF(AND(AK52=1,SUM($AJ52:$AO52)=3),$M52/3,IF(AND(AK52=1,SUM($AJ52:$AO52)=2),$M52/2,IF(AND(AK52=1,SUM($AJ52:$AO52)=1),$M52,0))))))</f>
        <v>0</v>
      </c>
      <c r="AR52" s="28" t="n">
        <f aca="false">IF(AND(AL52=1,SUM($AJ52:$AO52)=6),$M52/6,IF(AND(AL52=1,SUM($AJ52:$AO52)=5),$M52/5,IF(AND(AL52=1,SUM($AJ52:$AO52)=4),$M52/4,IF(AND(AL52=1,SUM($AJ52:$AO52)=3),$M52/3,IF(AND(AL52=1,SUM($AJ52:$AO52)=2),$M52/2,IF(AND(AL52=1,SUM($AJ52:$AO52)=1),$M52,0))))))</f>
        <v>0</v>
      </c>
      <c r="AS52" s="28" t="n">
        <f aca="false">IF(AND(AM52=1,SUM($AJ52:$AO52)=6),$M52/6,IF(AND(AM52=1,SUM($AJ52:$AO52)=5),$M52/5,IF(AND(AM52=1,SUM($AJ52:$AO52)=4),$M52/4,IF(AND(AM52=1,SUM($AJ52:$AO52)=3),$M52/3,IF(AND(AM52=1,SUM($AJ52:$AO52)=2),$M52/2,IF(AND(AM52=1,SUM($AJ52:$AO52)=1),$M52,0))))))</f>
        <v>1024500</v>
      </c>
      <c r="AT52" s="28" t="n">
        <f aca="false">IF(AND(AN52=1,SUM($AJ52:$AO52)=6),$M52/6,IF(AND(AN52=1,SUM($AJ52:$AO52)=5),$M52/5,IF(AND(AN52=1,SUM($AJ52:$AO52)=4),$M52/4,IF(AND(AN52=1,SUM($AJ52:$AO52)=3),$M52/3,IF(AND(AN52=1,SUM($AJ52:$AO52)=2),$M52/2,IF(AND(AN52=1,SUM($AJ52:$AO52)=1),$M52,0))))))</f>
        <v>0</v>
      </c>
      <c r="AU52" s="28" t="n">
        <f aca="false">IF(AND(AO52=1,SUM($AJ52:$AO52)=6),$M52/6,IF(AND(AO52=1,SUM($AJ52:$AO52)=5),$M52/5,IF(AND(AO52=1,SUM($AJ52:$AO52)=4),$M52/4,IF(AND(AO52=1,SUM($AJ52:$AO52)=3),$M52/3,IF(AND(AO52=1,SUM($AJ52:$AO52)=2),$M52/2,IF(AND(AO52=1,SUM($AJ52:$AO52)=1),$M52,0))))))</f>
        <v>0</v>
      </c>
      <c r="AV52" s="29" t="s">
        <v>114</v>
      </c>
      <c r="AW52" s="26"/>
      <c r="AX52" s="29" t="s">
        <v>114</v>
      </c>
      <c r="AY52" s="26"/>
      <c r="AZ52" s="29" t="s">
        <v>117</v>
      </c>
      <c r="BA52" s="30" t="s">
        <v>390</v>
      </c>
      <c r="BB52" s="29" t="s">
        <v>116</v>
      </c>
      <c r="BC52" s="29" t="s">
        <v>261</v>
      </c>
      <c r="BD52" s="29" t="s">
        <v>117</v>
      </c>
      <c r="BE52" s="29" t="s">
        <v>391</v>
      </c>
      <c r="BF52" s="29" t="s">
        <v>114</v>
      </c>
      <c r="BG52" s="30" t="s">
        <v>119</v>
      </c>
    </row>
    <row r="53" customFormat="false" ht="39.55" hidden="false" customHeight="false" outlineLevel="0" collapsed="false">
      <c r="A53" s="20" t="n">
        <v>51</v>
      </c>
      <c r="B53" s="20" t="s">
        <v>15</v>
      </c>
      <c r="C53" s="20"/>
      <c r="D53" s="20" t="s">
        <v>392</v>
      </c>
      <c r="E53" s="20" t="s">
        <v>46</v>
      </c>
      <c r="F53" s="20" t="s">
        <v>5</v>
      </c>
      <c r="G53" s="20" t="s">
        <v>148</v>
      </c>
      <c r="H53" s="21" t="s">
        <v>202</v>
      </c>
      <c r="I53" s="22" t="s">
        <v>111</v>
      </c>
      <c r="J53" s="22" t="s">
        <v>22</v>
      </c>
      <c r="K53" s="23" t="s">
        <v>130</v>
      </c>
      <c r="L53" s="24" t="n">
        <f aca="false">M53*3600</f>
        <v>3690000000</v>
      </c>
      <c r="M53" s="25" t="n">
        <v>1025000</v>
      </c>
      <c r="N53" s="21"/>
      <c r="O53" s="21" t="s">
        <v>190</v>
      </c>
      <c r="P53" s="21" t="s">
        <v>333</v>
      </c>
      <c r="Q53" s="21" t="s">
        <v>22</v>
      </c>
      <c r="R53" s="27" t="n">
        <v>1</v>
      </c>
      <c r="S53" s="27" t="n">
        <v>1</v>
      </c>
      <c r="T53" s="27" t="n">
        <v>1</v>
      </c>
      <c r="U53" s="27" t="n">
        <v>1</v>
      </c>
      <c r="V53" s="27" t="n">
        <v>1</v>
      </c>
      <c r="W53" s="27" t="n">
        <v>1</v>
      </c>
      <c r="X53" s="27" t="n">
        <v>1</v>
      </c>
      <c r="Y53" s="27" t="n">
        <v>1</v>
      </c>
      <c r="Z53" s="27" t="n">
        <v>1</v>
      </c>
      <c r="AA53" s="27" t="n">
        <v>1</v>
      </c>
      <c r="AB53" s="27" t="n">
        <v>1</v>
      </c>
      <c r="AC53" s="27" t="n">
        <v>1</v>
      </c>
      <c r="AD53" s="26"/>
      <c r="AE53" s="26"/>
      <c r="AF53" s="26"/>
      <c r="AG53" s="26"/>
      <c r="AH53" s="26"/>
      <c r="AI53" s="26"/>
      <c r="AJ53" s="22" t="n">
        <f aca="false">IF(SUM(R53:T53)&gt;0,1,0)</f>
        <v>1</v>
      </c>
      <c r="AK53" s="22" t="n">
        <f aca="false">IF(SUM(U53:W53)&gt;0,1,0)</f>
        <v>1</v>
      </c>
      <c r="AL53" s="22" t="n">
        <f aca="false">IF(SUM(X53:Z53)&gt;0,1,0)</f>
        <v>1</v>
      </c>
      <c r="AM53" s="22" t="n">
        <f aca="false">IF(SUM(AA53:AC53)&gt;0,1,0)</f>
        <v>1</v>
      </c>
      <c r="AN53" s="22" t="n">
        <f aca="false">IF(SUM(AD53:AF53)&gt;0,1,0)</f>
        <v>0</v>
      </c>
      <c r="AO53" s="22" t="n">
        <f aca="false">IF(SUM(AG53:AI53)&gt;0,1,0)</f>
        <v>0</v>
      </c>
      <c r="AP53" s="28" t="n">
        <f aca="false">IF(AND(AJ53=1,SUM($AJ53:$AO53)=6),$M53/6,IF(AND(AJ53=1,SUM($AJ53:$AO53)=5),$M53/5,IF(AND(AJ53=1,SUM($AJ53:$AO53)=4),$M53/4,IF(AND(AJ53=1,SUM($AJ53:$AO53)=3),$M53/3,IF(AND(AJ53=1,SUM($AJ53:$AO53)=2),$M53/2,IF(AND(AJ53=1,SUM($AJ53:$AO53)=1),$M53,0))))))</f>
        <v>256250</v>
      </c>
      <c r="AQ53" s="28" t="n">
        <f aca="false">IF(AND(AK53=1,SUM($AJ53:$AO53)=6),$M53/6,IF(AND(AK53=1,SUM($AJ53:$AO53)=5),$M53/5,IF(AND(AK53=1,SUM($AJ53:$AO53)=4),$M53/4,IF(AND(AK53=1,SUM($AJ53:$AO53)=3),$M53/3,IF(AND(AK53=1,SUM($AJ53:$AO53)=2),$M53/2,IF(AND(AK53=1,SUM($AJ53:$AO53)=1),$M53,0))))))</f>
        <v>256250</v>
      </c>
      <c r="AR53" s="28" t="n">
        <f aca="false">IF(AND(AL53=1,SUM($AJ53:$AO53)=6),$M53/6,IF(AND(AL53=1,SUM($AJ53:$AO53)=5),$M53/5,IF(AND(AL53=1,SUM($AJ53:$AO53)=4),$M53/4,IF(AND(AL53=1,SUM($AJ53:$AO53)=3),$M53/3,IF(AND(AL53=1,SUM($AJ53:$AO53)=2),$M53/2,IF(AND(AL53=1,SUM($AJ53:$AO53)=1),$M53,0))))))</f>
        <v>256250</v>
      </c>
      <c r="AS53" s="28" t="n">
        <f aca="false">IF(AND(AM53=1,SUM($AJ53:$AO53)=6),$M53/6,IF(AND(AM53=1,SUM($AJ53:$AO53)=5),$M53/5,IF(AND(AM53=1,SUM($AJ53:$AO53)=4),$M53/4,IF(AND(AM53=1,SUM($AJ53:$AO53)=3),$M53/3,IF(AND(AM53=1,SUM($AJ53:$AO53)=2),$M53/2,IF(AND(AM53=1,SUM($AJ53:$AO53)=1),$M53,0))))))</f>
        <v>256250</v>
      </c>
      <c r="AT53" s="28" t="n">
        <f aca="false">IF(AND(AN53=1,SUM($AJ53:$AO53)=6),$M53/6,IF(AND(AN53=1,SUM($AJ53:$AO53)=5),$M53/5,IF(AND(AN53=1,SUM($AJ53:$AO53)=4),$M53/4,IF(AND(AN53=1,SUM($AJ53:$AO53)=3),$M53/3,IF(AND(AN53=1,SUM($AJ53:$AO53)=2),$M53/2,IF(AND(AN53=1,SUM($AJ53:$AO53)=1),$M53,0))))))</f>
        <v>0</v>
      </c>
      <c r="AU53" s="28" t="n">
        <f aca="false">IF(AND(AO53=1,SUM($AJ53:$AO53)=6),$M53/6,IF(AND(AO53=1,SUM($AJ53:$AO53)=5),$M53/5,IF(AND(AO53=1,SUM($AJ53:$AO53)=4),$M53/4,IF(AND(AO53=1,SUM($AJ53:$AO53)=3),$M53/3,IF(AND(AO53=1,SUM($AJ53:$AO53)=2),$M53/2,IF(AND(AO53=1,SUM($AJ53:$AO53)=1),$M53,0))))))</f>
        <v>0</v>
      </c>
      <c r="AV53" s="29" t="s">
        <v>114</v>
      </c>
      <c r="AW53" s="26"/>
      <c r="AX53" s="29" t="s">
        <v>117</v>
      </c>
      <c r="AY53" s="26"/>
      <c r="AZ53" s="29" t="s">
        <v>117</v>
      </c>
      <c r="BA53" s="30" t="s">
        <v>393</v>
      </c>
      <c r="BB53" s="29" t="s">
        <v>117</v>
      </c>
      <c r="BC53" s="26"/>
      <c r="BD53" s="29" t="s">
        <v>117</v>
      </c>
      <c r="BE53" s="29" t="s">
        <v>394</v>
      </c>
      <c r="BF53" s="29" t="s">
        <v>114</v>
      </c>
      <c r="BG53" s="30" t="s">
        <v>119</v>
      </c>
    </row>
    <row r="54" customFormat="false" ht="39.55" hidden="false" customHeight="false" outlineLevel="0" collapsed="false">
      <c r="A54" s="20" t="n">
        <v>52</v>
      </c>
      <c r="B54" s="32" t="s">
        <v>15</v>
      </c>
      <c r="C54" s="20" t="s">
        <v>357</v>
      </c>
      <c r="D54" s="32" t="s">
        <v>395</v>
      </c>
      <c r="E54" s="32" t="s">
        <v>46</v>
      </c>
      <c r="F54" s="21" t="s">
        <v>4</v>
      </c>
      <c r="G54" s="21" t="s">
        <v>109</v>
      </c>
      <c r="H54" s="35" t="s">
        <v>396</v>
      </c>
      <c r="I54" s="22" t="s">
        <v>111</v>
      </c>
      <c r="J54" s="22" t="s">
        <v>397</v>
      </c>
      <c r="K54" s="23" t="s">
        <v>16</v>
      </c>
      <c r="L54" s="24" t="n">
        <f aca="false">M54*3600</f>
        <v>3691800000</v>
      </c>
      <c r="M54" s="25" t="n">
        <v>1025500</v>
      </c>
      <c r="N54" s="48" t="s">
        <v>398</v>
      </c>
      <c r="O54" s="21" t="s">
        <v>399</v>
      </c>
      <c r="P54" s="21" t="s">
        <v>400</v>
      </c>
      <c r="Q54" s="21"/>
      <c r="R54" s="26"/>
      <c r="S54" s="26"/>
      <c r="T54" s="26"/>
      <c r="U54" s="27" t="n">
        <v>1</v>
      </c>
      <c r="V54" s="27" t="n">
        <v>1</v>
      </c>
      <c r="W54" s="27" t="n">
        <v>1</v>
      </c>
      <c r="X54" s="26"/>
      <c r="Y54" s="26"/>
      <c r="Z54" s="26"/>
      <c r="AA54" s="26"/>
      <c r="AB54" s="26"/>
      <c r="AC54" s="26"/>
      <c r="AD54" s="26"/>
      <c r="AE54" s="26"/>
      <c r="AF54" s="26"/>
      <c r="AG54" s="26"/>
      <c r="AH54" s="26"/>
      <c r="AI54" s="26"/>
      <c r="AJ54" s="22" t="n">
        <f aca="false">IF(SUM(R54:T54)&gt;0,1,0)</f>
        <v>0</v>
      </c>
      <c r="AK54" s="22" t="n">
        <f aca="false">IF(SUM(U54:W54)&gt;0,1,0)</f>
        <v>1</v>
      </c>
      <c r="AL54" s="22" t="n">
        <f aca="false">IF(SUM(X54:Z54)&gt;0,1,0)</f>
        <v>0</v>
      </c>
      <c r="AM54" s="22" t="n">
        <f aca="false">IF(SUM(AA54:AC54)&gt;0,1,0)</f>
        <v>0</v>
      </c>
      <c r="AN54" s="22" t="n">
        <f aca="false">IF(SUM(AD54:AF54)&gt;0,1,0)</f>
        <v>0</v>
      </c>
      <c r="AO54" s="22" t="n">
        <f aca="false">IF(SUM(AG54:AI54)&gt;0,1,0)</f>
        <v>0</v>
      </c>
      <c r="AP54" s="28" t="n">
        <f aca="false">IF(AND(AJ54=1,SUM($AJ54:$AO54)=6),$M54/6,IF(AND(AJ54=1,SUM($AJ54:$AO54)=5),$M54/5,IF(AND(AJ54=1,SUM($AJ54:$AO54)=4),$M54/4,IF(AND(AJ54=1,SUM($AJ54:$AO54)=3),$M54/3,IF(AND(AJ54=1,SUM($AJ54:$AO54)=2),$M54/2,IF(AND(AJ54=1,SUM($AJ54:$AO54)=1),$M54,0))))))</f>
        <v>0</v>
      </c>
      <c r="AQ54" s="28" t="n">
        <f aca="false">IF(AND(AK54=1,SUM($AJ54:$AO54)=6),$M54/6,IF(AND(AK54=1,SUM($AJ54:$AO54)=5),$M54/5,IF(AND(AK54=1,SUM($AJ54:$AO54)=4),$M54/4,IF(AND(AK54=1,SUM($AJ54:$AO54)=3),$M54/3,IF(AND(AK54=1,SUM($AJ54:$AO54)=2),$M54/2,IF(AND(AK54=1,SUM($AJ54:$AO54)=1),$M54,0))))))</f>
        <v>1025500</v>
      </c>
      <c r="AR54" s="28" t="n">
        <f aca="false">IF(AND(AL54=1,SUM($AJ54:$AO54)=6),$M54/6,IF(AND(AL54=1,SUM($AJ54:$AO54)=5),$M54/5,IF(AND(AL54=1,SUM($AJ54:$AO54)=4),$M54/4,IF(AND(AL54=1,SUM($AJ54:$AO54)=3),$M54/3,IF(AND(AL54=1,SUM($AJ54:$AO54)=2),$M54/2,IF(AND(AL54=1,SUM($AJ54:$AO54)=1),$M54,0))))))</f>
        <v>0</v>
      </c>
      <c r="AS54" s="28" t="n">
        <f aca="false">IF(AND(AM54=1,SUM($AJ54:$AO54)=6),$M54/6,IF(AND(AM54=1,SUM($AJ54:$AO54)=5),$M54/5,IF(AND(AM54=1,SUM($AJ54:$AO54)=4),$M54/4,IF(AND(AM54=1,SUM($AJ54:$AO54)=3),$M54/3,IF(AND(AM54=1,SUM($AJ54:$AO54)=2),$M54/2,IF(AND(AM54=1,SUM($AJ54:$AO54)=1),$M54,0))))))</f>
        <v>0</v>
      </c>
      <c r="AT54" s="28" t="n">
        <f aca="false">IF(AND(AN54=1,SUM($AJ54:$AO54)=6),$M54/6,IF(AND(AN54=1,SUM($AJ54:$AO54)=5),$M54/5,IF(AND(AN54=1,SUM($AJ54:$AO54)=4),$M54/4,IF(AND(AN54=1,SUM($AJ54:$AO54)=3),$M54/3,IF(AND(AN54=1,SUM($AJ54:$AO54)=2),$M54/2,IF(AND(AN54=1,SUM($AJ54:$AO54)=1),$M54,0))))))</f>
        <v>0</v>
      </c>
      <c r="AU54" s="28" t="n">
        <f aca="false">IF(AND(AO54=1,SUM($AJ54:$AO54)=6),$M54/6,IF(AND(AO54=1,SUM($AJ54:$AO54)=5),$M54/5,IF(AND(AO54=1,SUM($AJ54:$AO54)=4),$M54/4,IF(AND(AO54=1,SUM($AJ54:$AO54)=3),$M54/3,IF(AND(AO54=1,SUM($AJ54:$AO54)=2),$M54/2,IF(AND(AO54=1,SUM($AJ54:$AO54)=1),$M54,0))))))</f>
        <v>0</v>
      </c>
      <c r="AV54" s="29" t="s">
        <v>114</v>
      </c>
      <c r="AW54" s="29" t="s">
        <v>118</v>
      </c>
      <c r="AX54" s="29" t="s">
        <v>117</v>
      </c>
      <c r="AY54" s="30"/>
      <c r="AZ54" s="29" t="s">
        <v>117</v>
      </c>
      <c r="BA54" s="30" t="s">
        <v>401</v>
      </c>
      <c r="BB54" s="29" t="s">
        <v>117</v>
      </c>
      <c r="BC54" s="30"/>
      <c r="BD54" s="29" t="s">
        <v>117</v>
      </c>
      <c r="BE54" s="29" t="s">
        <v>402</v>
      </c>
      <c r="BF54" s="29" t="s">
        <v>114</v>
      </c>
      <c r="BG54" s="30" t="s">
        <v>119</v>
      </c>
    </row>
    <row r="55" customFormat="false" ht="39.55" hidden="false" customHeight="false" outlineLevel="0" collapsed="false">
      <c r="A55" s="20" t="n">
        <v>53</v>
      </c>
      <c r="B55" s="32" t="s">
        <v>15</v>
      </c>
      <c r="C55" s="20" t="s">
        <v>107</v>
      </c>
      <c r="D55" s="32" t="s">
        <v>403</v>
      </c>
      <c r="E55" s="32" t="s">
        <v>46</v>
      </c>
      <c r="F55" s="21" t="s">
        <v>4</v>
      </c>
      <c r="G55" s="21" t="s">
        <v>109</v>
      </c>
      <c r="H55" s="35" t="s">
        <v>404</v>
      </c>
      <c r="I55" s="22" t="s">
        <v>111</v>
      </c>
      <c r="J55" s="22" t="s">
        <v>397</v>
      </c>
      <c r="K55" s="23" t="s">
        <v>122</v>
      </c>
      <c r="L55" s="24" t="n">
        <f aca="false">M55*3600</f>
        <v>3693600000</v>
      </c>
      <c r="M55" s="25" t="n">
        <v>1026000</v>
      </c>
      <c r="N55" s="21"/>
      <c r="O55" s="21" t="s">
        <v>359</v>
      </c>
      <c r="P55" s="21" t="s">
        <v>385</v>
      </c>
      <c r="Q55" s="21"/>
      <c r="R55" s="26"/>
      <c r="S55" s="26"/>
      <c r="T55" s="26"/>
      <c r="U55" s="27" t="n">
        <v>1</v>
      </c>
      <c r="V55" s="26"/>
      <c r="W55" s="26"/>
      <c r="X55" s="26"/>
      <c r="Y55" s="26"/>
      <c r="Z55" s="26"/>
      <c r="AA55" s="26"/>
      <c r="AB55" s="26"/>
      <c r="AC55" s="26"/>
      <c r="AD55" s="26"/>
      <c r="AE55" s="26"/>
      <c r="AF55" s="26"/>
      <c r="AG55" s="27" t="n">
        <v>1</v>
      </c>
      <c r="AH55" s="26"/>
      <c r="AI55" s="26"/>
      <c r="AJ55" s="22" t="n">
        <f aca="false">IF(SUM(R55:T55)&gt;0,1,0)</f>
        <v>0</v>
      </c>
      <c r="AK55" s="22" t="n">
        <f aca="false">IF(SUM(U55:W55)&gt;0,1,0)</f>
        <v>1</v>
      </c>
      <c r="AL55" s="22" t="n">
        <f aca="false">IF(SUM(X55:Z55)&gt;0,1,0)</f>
        <v>0</v>
      </c>
      <c r="AM55" s="22" t="n">
        <f aca="false">IF(SUM(AA55:AC55)&gt;0,1,0)</f>
        <v>0</v>
      </c>
      <c r="AN55" s="22" t="n">
        <f aca="false">IF(SUM(AD55:AF55)&gt;0,1,0)</f>
        <v>0</v>
      </c>
      <c r="AO55" s="22" t="n">
        <f aca="false">IF(SUM(AG55:AI55)&gt;0,1,0)</f>
        <v>1</v>
      </c>
      <c r="AP55" s="28" t="n">
        <f aca="false">IF(AND(AJ55=1,SUM($AJ55:$AO55)=6),$M55/6,IF(AND(AJ55=1,SUM($AJ55:$AO55)=5),$M55/5,IF(AND(AJ55=1,SUM($AJ55:$AO55)=4),$M55/4,IF(AND(AJ55=1,SUM($AJ55:$AO55)=3),$M55/3,IF(AND(AJ55=1,SUM($AJ55:$AO55)=2),$M55/2,IF(AND(AJ55=1,SUM($AJ55:$AO55)=1),$M55,0))))))</f>
        <v>0</v>
      </c>
      <c r="AQ55" s="28" t="n">
        <f aca="false">IF(AND(AK55=1,SUM($AJ55:$AO55)=6),$M55/6,IF(AND(AK55=1,SUM($AJ55:$AO55)=5),$M55/5,IF(AND(AK55=1,SUM($AJ55:$AO55)=4),$M55/4,IF(AND(AK55=1,SUM($AJ55:$AO55)=3),$M55/3,IF(AND(AK55=1,SUM($AJ55:$AO55)=2),$M55/2,IF(AND(AK55=1,SUM($AJ55:$AO55)=1),$M55,0))))))</f>
        <v>513000</v>
      </c>
      <c r="AR55" s="28" t="n">
        <f aca="false">IF(AND(AL55=1,SUM($AJ55:$AO55)=6),$M55/6,IF(AND(AL55=1,SUM($AJ55:$AO55)=5),$M55/5,IF(AND(AL55=1,SUM($AJ55:$AO55)=4),$M55/4,IF(AND(AL55=1,SUM($AJ55:$AO55)=3),$M55/3,IF(AND(AL55=1,SUM($AJ55:$AO55)=2),$M55/2,IF(AND(AL55=1,SUM($AJ55:$AO55)=1),$M55,0))))))</f>
        <v>0</v>
      </c>
      <c r="AS55" s="28" t="n">
        <f aca="false">IF(AND(AM55=1,SUM($AJ55:$AO55)=6),$M55/6,IF(AND(AM55=1,SUM($AJ55:$AO55)=5),$M55/5,IF(AND(AM55=1,SUM($AJ55:$AO55)=4),$M55/4,IF(AND(AM55=1,SUM($AJ55:$AO55)=3),$M55/3,IF(AND(AM55=1,SUM($AJ55:$AO55)=2),$M55/2,IF(AND(AM55=1,SUM($AJ55:$AO55)=1),$M55,0))))))</f>
        <v>0</v>
      </c>
      <c r="AT55" s="28" t="n">
        <f aca="false">IF(AND(AN55=1,SUM($AJ55:$AO55)=6),$M55/6,IF(AND(AN55=1,SUM($AJ55:$AO55)=5),$M55/5,IF(AND(AN55=1,SUM($AJ55:$AO55)=4),$M55/4,IF(AND(AN55=1,SUM($AJ55:$AO55)=3),$M55/3,IF(AND(AN55=1,SUM($AJ55:$AO55)=2),$M55/2,IF(AND(AN55=1,SUM($AJ55:$AO55)=1),$M55,0))))))</f>
        <v>0</v>
      </c>
      <c r="AU55" s="28" t="n">
        <f aca="false">IF(AND(AO55=1,SUM($AJ55:$AO55)=6),$M55/6,IF(AND(AO55=1,SUM($AJ55:$AO55)=5),$M55/5,IF(AND(AO55=1,SUM($AJ55:$AO55)=4),$M55/4,IF(AND(AO55=1,SUM($AJ55:$AO55)=3),$M55/3,IF(AND(AO55=1,SUM($AJ55:$AO55)=2),$M55/2,IF(AND(AO55=1,SUM($AJ55:$AO55)=1),$M55,0))))))</f>
        <v>513000</v>
      </c>
      <c r="AV55" s="26" t="s">
        <v>116</v>
      </c>
      <c r="AW55" s="29" t="s">
        <v>126</v>
      </c>
      <c r="AX55" s="29" t="s">
        <v>117</v>
      </c>
      <c r="AY55" s="30"/>
      <c r="AZ55" s="29" t="s">
        <v>117</v>
      </c>
      <c r="BA55" s="30" t="s">
        <v>405</v>
      </c>
      <c r="BB55" s="29" t="s">
        <v>117</v>
      </c>
      <c r="BC55" s="30"/>
      <c r="BD55" s="29" t="s">
        <v>117</v>
      </c>
      <c r="BE55" s="29" t="s">
        <v>406</v>
      </c>
      <c r="BF55" s="29" t="s">
        <v>114</v>
      </c>
      <c r="BG55" s="30" t="s">
        <v>119</v>
      </c>
    </row>
    <row r="56" customFormat="false" ht="39.55" hidden="false" customHeight="false" outlineLevel="0" collapsed="false">
      <c r="A56" s="20" t="n">
        <v>54</v>
      </c>
      <c r="B56" s="33" t="s">
        <v>15</v>
      </c>
      <c r="C56" s="20" t="s">
        <v>231</v>
      </c>
      <c r="D56" s="32" t="s">
        <v>407</v>
      </c>
      <c r="E56" s="32" t="s">
        <v>46</v>
      </c>
      <c r="F56" s="21" t="s">
        <v>4</v>
      </c>
      <c r="G56" s="21" t="s">
        <v>109</v>
      </c>
      <c r="H56" s="21" t="s">
        <v>233</v>
      </c>
      <c r="I56" s="22" t="s">
        <v>111</v>
      </c>
      <c r="J56" s="22" t="s">
        <v>397</v>
      </c>
      <c r="K56" s="23" t="s">
        <v>130</v>
      </c>
      <c r="L56" s="24" t="n">
        <f aca="false">M56*3600</f>
        <v>3695400000</v>
      </c>
      <c r="M56" s="25" t="n">
        <v>1026500</v>
      </c>
      <c r="N56" s="21"/>
      <c r="O56" s="31" t="s">
        <v>260</v>
      </c>
      <c r="P56" s="31" t="s">
        <v>211</v>
      </c>
      <c r="Q56" s="21"/>
      <c r="R56" s="26"/>
      <c r="S56" s="26"/>
      <c r="T56" s="26"/>
      <c r="U56" s="26"/>
      <c r="V56" s="26"/>
      <c r="W56" s="26"/>
      <c r="X56" s="26"/>
      <c r="Y56" s="26"/>
      <c r="Z56" s="26"/>
      <c r="AA56" s="26"/>
      <c r="AB56" s="27" t="n">
        <v>1</v>
      </c>
      <c r="AC56" s="26"/>
      <c r="AD56" s="26"/>
      <c r="AE56" s="26"/>
      <c r="AF56" s="26"/>
      <c r="AG56" s="26"/>
      <c r="AH56" s="26"/>
      <c r="AI56" s="26"/>
      <c r="AJ56" s="22" t="n">
        <f aca="false">IF(SUM(R56:T56)&gt;0,1,0)</f>
        <v>0</v>
      </c>
      <c r="AK56" s="22" t="n">
        <f aca="false">IF(SUM(U56:W56)&gt;0,1,0)</f>
        <v>0</v>
      </c>
      <c r="AL56" s="22" t="n">
        <f aca="false">IF(SUM(X56:Z56)&gt;0,1,0)</f>
        <v>0</v>
      </c>
      <c r="AM56" s="22" t="n">
        <f aca="false">IF(SUM(AA56:AC56)&gt;0,1,0)</f>
        <v>1</v>
      </c>
      <c r="AN56" s="22" t="n">
        <f aca="false">IF(SUM(AD56:AF56)&gt;0,1,0)</f>
        <v>0</v>
      </c>
      <c r="AO56" s="22" t="n">
        <f aca="false">IF(SUM(AG56:AI56)&gt;0,1,0)</f>
        <v>0</v>
      </c>
      <c r="AP56" s="28" t="n">
        <f aca="false">IF(AND(AJ56=1,SUM($AJ56:$AO56)=6),$M56/6,IF(AND(AJ56=1,SUM($AJ56:$AO56)=5),$M56/5,IF(AND(AJ56=1,SUM($AJ56:$AO56)=4),$M56/4,IF(AND(AJ56=1,SUM($AJ56:$AO56)=3),$M56/3,IF(AND(AJ56=1,SUM($AJ56:$AO56)=2),$M56/2,IF(AND(AJ56=1,SUM($AJ56:$AO56)=1),$M56,0))))))</f>
        <v>0</v>
      </c>
      <c r="AQ56" s="28" t="n">
        <f aca="false">IF(AND(AK56=1,SUM($AJ56:$AO56)=6),$M56/6,IF(AND(AK56=1,SUM($AJ56:$AO56)=5),$M56/5,IF(AND(AK56=1,SUM($AJ56:$AO56)=4),$M56/4,IF(AND(AK56=1,SUM($AJ56:$AO56)=3),$M56/3,IF(AND(AK56=1,SUM($AJ56:$AO56)=2),$M56/2,IF(AND(AK56=1,SUM($AJ56:$AO56)=1),$M56,0))))))</f>
        <v>0</v>
      </c>
      <c r="AR56" s="28" t="n">
        <f aca="false">IF(AND(AL56=1,SUM($AJ56:$AO56)=6),$M56/6,IF(AND(AL56=1,SUM($AJ56:$AO56)=5),$M56/5,IF(AND(AL56=1,SUM($AJ56:$AO56)=4),$M56/4,IF(AND(AL56=1,SUM($AJ56:$AO56)=3),$M56/3,IF(AND(AL56=1,SUM($AJ56:$AO56)=2),$M56/2,IF(AND(AL56=1,SUM($AJ56:$AO56)=1),$M56,0))))))</f>
        <v>0</v>
      </c>
      <c r="AS56" s="28" t="n">
        <f aca="false">IF(AND(AM56=1,SUM($AJ56:$AO56)=6),$M56/6,IF(AND(AM56=1,SUM($AJ56:$AO56)=5),$M56/5,IF(AND(AM56=1,SUM($AJ56:$AO56)=4),$M56/4,IF(AND(AM56=1,SUM($AJ56:$AO56)=3),$M56/3,IF(AND(AM56=1,SUM($AJ56:$AO56)=2),$M56/2,IF(AND(AM56=1,SUM($AJ56:$AO56)=1),$M56,0))))))</f>
        <v>1026500</v>
      </c>
      <c r="AT56" s="28" t="n">
        <f aca="false">IF(AND(AN56=1,SUM($AJ56:$AO56)=6),$M56/6,IF(AND(AN56=1,SUM($AJ56:$AO56)=5),$M56/5,IF(AND(AN56=1,SUM($AJ56:$AO56)=4),$M56/4,IF(AND(AN56=1,SUM($AJ56:$AO56)=3),$M56/3,IF(AND(AN56=1,SUM($AJ56:$AO56)=2),$M56/2,IF(AND(AN56=1,SUM($AJ56:$AO56)=1),$M56,0))))))</f>
        <v>0</v>
      </c>
      <c r="AU56" s="28" t="n">
        <f aca="false">IF(AND(AO56=1,SUM($AJ56:$AO56)=6),$M56/6,IF(AND(AO56=1,SUM($AJ56:$AO56)=5),$M56/5,IF(AND(AO56=1,SUM($AJ56:$AO56)=4),$M56/4,IF(AND(AO56=1,SUM($AJ56:$AO56)=3),$M56/3,IF(AND(AO56=1,SUM($AJ56:$AO56)=2),$M56/2,IF(AND(AO56=1,SUM($AJ56:$AO56)=1),$M56,0))))))</f>
        <v>0</v>
      </c>
      <c r="AV56" s="26" t="s">
        <v>116</v>
      </c>
      <c r="AW56" s="29" t="s">
        <v>136</v>
      </c>
      <c r="AX56" s="29" t="s">
        <v>117</v>
      </c>
      <c r="AY56" s="30"/>
      <c r="AZ56" s="29" t="s">
        <v>114</v>
      </c>
      <c r="BA56" s="30" t="s">
        <v>408</v>
      </c>
      <c r="BB56" s="29" t="s">
        <v>114</v>
      </c>
      <c r="BC56" s="30"/>
      <c r="BD56" s="29" t="s">
        <v>117</v>
      </c>
      <c r="BE56" s="29" t="s">
        <v>409</v>
      </c>
      <c r="BF56" s="29" t="s">
        <v>114</v>
      </c>
      <c r="BG56" s="30" t="s">
        <v>119</v>
      </c>
    </row>
    <row r="57" customFormat="false" ht="102.95" hidden="false" customHeight="false" outlineLevel="0" collapsed="false">
      <c r="A57" s="20" t="n">
        <v>55</v>
      </c>
      <c r="B57" s="32" t="s">
        <v>15</v>
      </c>
      <c r="C57" s="20" t="s">
        <v>293</v>
      </c>
      <c r="D57" s="20" t="s">
        <v>410</v>
      </c>
      <c r="E57" s="20" t="s">
        <v>46</v>
      </c>
      <c r="F57" s="21" t="s">
        <v>4</v>
      </c>
      <c r="G57" s="21" t="s">
        <v>109</v>
      </c>
      <c r="H57" s="21" t="s">
        <v>322</v>
      </c>
      <c r="I57" s="22" t="s">
        <v>111</v>
      </c>
      <c r="J57" s="22" t="s">
        <v>24</v>
      </c>
      <c r="K57" s="23" t="s">
        <v>16</v>
      </c>
      <c r="L57" s="24" t="n">
        <f aca="false">M57*3600</f>
        <v>3697200000</v>
      </c>
      <c r="M57" s="25" t="n">
        <v>1027000</v>
      </c>
      <c r="N57" s="21" t="s">
        <v>411</v>
      </c>
      <c r="O57" s="21" t="s">
        <v>218</v>
      </c>
      <c r="P57" s="21" t="s">
        <v>274</v>
      </c>
      <c r="Q57" s="21" t="s">
        <v>309</v>
      </c>
      <c r="R57" s="26"/>
      <c r="S57" s="26"/>
      <c r="T57" s="26"/>
      <c r="U57" s="26"/>
      <c r="V57" s="26"/>
      <c r="W57" s="26"/>
      <c r="X57" s="27" t="n">
        <v>1</v>
      </c>
      <c r="Y57" s="27" t="n">
        <v>1</v>
      </c>
      <c r="Z57" s="27" t="n">
        <v>1</v>
      </c>
      <c r="AA57" s="26"/>
      <c r="AB57" s="26"/>
      <c r="AC57" s="26"/>
      <c r="AD57" s="26"/>
      <c r="AE57" s="26"/>
      <c r="AF57" s="26"/>
      <c r="AG57" s="26"/>
      <c r="AH57" s="26"/>
      <c r="AI57" s="26"/>
      <c r="AJ57" s="22" t="n">
        <f aca="false">IF(SUM(R57:T57)&gt;0,1,0)</f>
        <v>0</v>
      </c>
      <c r="AK57" s="22" t="n">
        <f aca="false">IF(SUM(U57:W57)&gt;0,1,0)</f>
        <v>0</v>
      </c>
      <c r="AL57" s="22" t="n">
        <f aca="false">IF(SUM(X57:Z57)&gt;0,1,0)</f>
        <v>1</v>
      </c>
      <c r="AM57" s="22" t="n">
        <f aca="false">IF(SUM(AA57:AC57)&gt;0,1,0)</f>
        <v>0</v>
      </c>
      <c r="AN57" s="22" t="n">
        <f aca="false">IF(SUM(AD57:AF57)&gt;0,1,0)</f>
        <v>0</v>
      </c>
      <c r="AO57" s="22" t="n">
        <f aca="false">IF(SUM(AG57:AI57)&gt;0,1,0)</f>
        <v>0</v>
      </c>
      <c r="AP57" s="28" t="n">
        <f aca="false">IF(AND(AJ57=1,SUM($AJ57:$AO57)=6),$M57/6,IF(AND(AJ57=1,SUM($AJ57:$AO57)=5),$M57/5,IF(AND(AJ57=1,SUM($AJ57:$AO57)=4),$M57/4,IF(AND(AJ57=1,SUM($AJ57:$AO57)=3),$M57/3,IF(AND(AJ57=1,SUM($AJ57:$AO57)=2),$M57/2,IF(AND(AJ57=1,SUM($AJ57:$AO57)=1),$M57,0))))))</f>
        <v>0</v>
      </c>
      <c r="AQ57" s="28" t="n">
        <f aca="false">IF(AND(AK57=1,SUM($AJ57:$AO57)=6),$M57/6,IF(AND(AK57=1,SUM($AJ57:$AO57)=5),$M57/5,IF(AND(AK57=1,SUM($AJ57:$AO57)=4),$M57/4,IF(AND(AK57=1,SUM($AJ57:$AO57)=3),$M57/3,IF(AND(AK57=1,SUM($AJ57:$AO57)=2),$M57/2,IF(AND(AK57=1,SUM($AJ57:$AO57)=1),$M57,0))))))</f>
        <v>0</v>
      </c>
      <c r="AR57" s="28" t="n">
        <f aca="false">IF(AND(AL57=1,SUM($AJ57:$AO57)=6),$M57/6,IF(AND(AL57=1,SUM($AJ57:$AO57)=5),$M57/5,IF(AND(AL57=1,SUM($AJ57:$AO57)=4),$M57/4,IF(AND(AL57=1,SUM($AJ57:$AO57)=3),$M57/3,IF(AND(AL57=1,SUM($AJ57:$AO57)=2),$M57/2,IF(AND(AL57=1,SUM($AJ57:$AO57)=1),$M57,0))))))</f>
        <v>1027000</v>
      </c>
      <c r="AS57" s="28" t="n">
        <f aca="false">IF(AND(AM57=1,SUM($AJ57:$AO57)=6),$M57/6,IF(AND(AM57=1,SUM($AJ57:$AO57)=5),$M57/5,IF(AND(AM57=1,SUM($AJ57:$AO57)=4),$M57/4,IF(AND(AM57=1,SUM($AJ57:$AO57)=3),$M57/3,IF(AND(AM57=1,SUM($AJ57:$AO57)=2),$M57/2,IF(AND(AM57=1,SUM($AJ57:$AO57)=1),$M57,0))))))</f>
        <v>0</v>
      </c>
      <c r="AT57" s="28" t="n">
        <f aca="false">IF(AND(AN57=1,SUM($AJ57:$AO57)=6),$M57/6,IF(AND(AN57=1,SUM($AJ57:$AO57)=5),$M57/5,IF(AND(AN57=1,SUM($AJ57:$AO57)=4),$M57/4,IF(AND(AN57=1,SUM($AJ57:$AO57)=3),$M57/3,IF(AND(AN57=1,SUM($AJ57:$AO57)=2),$M57/2,IF(AND(AN57=1,SUM($AJ57:$AO57)=1),$M57,0))))))</f>
        <v>0</v>
      </c>
      <c r="AU57" s="28" t="n">
        <f aca="false">IF(AND(AO57=1,SUM($AJ57:$AO57)=6),$M57/6,IF(AND(AO57=1,SUM($AJ57:$AO57)=5),$M57/5,IF(AND(AO57=1,SUM($AJ57:$AO57)=4),$M57/4,IF(AND(AO57=1,SUM($AJ57:$AO57)=3),$M57/3,IF(AND(AO57=1,SUM($AJ57:$AO57)=2),$M57/2,IF(AND(AO57=1,SUM($AJ57:$AO57)=1),$M57,0))))))</f>
        <v>0</v>
      </c>
      <c r="AV57" s="26" t="s">
        <v>116</v>
      </c>
      <c r="AW57" s="29" t="s">
        <v>141</v>
      </c>
      <c r="AX57" s="29" t="s">
        <v>114</v>
      </c>
      <c r="AY57" s="30"/>
      <c r="AZ57" s="29" t="s">
        <v>114</v>
      </c>
      <c r="BA57" s="30" t="s">
        <v>412</v>
      </c>
      <c r="BB57" s="29" t="s">
        <v>114</v>
      </c>
      <c r="BC57" s="30"/>
      <c r="BD57" s="29" t="s">
        <v>117</v>
      </c>
      <c r="BE57" s="29" t="s">
        <v>413</v>
      </c>
      <c r="BF57" s="29" t="s">
        <v>114</v>
      </c>
      <c r="BG57" s="30" t="s">
        <v>119</v>
      </c>
    </row>
    <row r="58" customFormat="false" ht="39.55" hidden="false" customHeight="false" outlineLevel="0" collapsed="false">
      <c r="A58" s="20" t="n">
        <v>56</v>
      </c>
      <c r="B58" s="20" t="s">
        <v>17</v>
      </c>
      <c r="C58" s="20" t="s">
        <v>414</v>
      </c>
      <c r="D58" s="20" t="s">
        <v>415</v>
      </c>
      <c r="E58" s="20" t="s">
        <v>45</v>
      </c>
      <c r="F58" s="21" t="s">
        <v>4</v>
      </c>
      <c r="G58" s="21" t="s">
        <v>109</v>
      </c>
      <c r="H58" s="21" t="s">
        <v>149</v>
      </c>
      <c r="I58" s="22" t="s">
        <v>111</v>
      </c>
      <c r="J58" s="22" t="s">
        <v>14</v>
      </c>
      <c r="K58" s="23" t="s">
        <v>122</v>
      </c>
      <c r="L58" s="24" t="n">
        <f aca="false">M58*3600</f>
        <v>3699000000</v>
      </c>
      <c r="M58" s="25" t="n">
        <v>1027500</v>
      </c>
      <c r="N58" s="21"/>
      <c r="O58" s="21" t="s">
        <v>416</v>
      </c>
      <c r="P58" s="21" t="s">
        <v>270</v>
      </c>
      <c r="Q58" s="21" t="s">
        <v>417</v>
      </c>
      <c r="R58" s="27" t="n">
        <v>1</v>
      </c>
      <c r="S58" s="27" t="n">
        <v>1</v>
      </c>
      <c r="T58" s="27" t="n">
        <v>1</v>
      </c>
      <c r="U58" s="27" t="n">
        <v>1</v>
      </c>
      <c r="V58" s="27" t="n">
        <v>1</v>
      </c>
      <c r="W58" s="27" t="n">
        <v>1</v>
      </c>
      <c r="X58" s="27"/>
      <c r="Y58" s="27"/>
      <c r="Z58" s="27"/>
      <c r="AA58" s="27"/>
      <c r="AB58" s="27"/>
      <c r="AC58" s="27"/>
      <c r="AD58" s="27" t="n">
        <v>1</v>
      </c>
      <c r="AE58" s="27" t="n">
        <v>1</v>
      </c>
      <c r="AF58" s="27" t="n">
        <v>1</v>
      </c>
      <c r="AG58" s="27"/>
      <c r="AH58" s="27"/>
      <c r="AI58" s="27"/>
      <c r="AJ58" s="22" t="n">
        <f aca="false">IF(SUM(R58:T58)&gt;0,1,0)</f>
        <v>1</v>
      </c>
      <c r="AK58" s="22" t="n">
        <f aca="false">IF(SUM(U58:W58)&gt;0,1,0)</f>
        <v>1</v>
      </c>
      <c r="AL58" s="22" t="n">
        <f aca="false">IF(SUM(X58:Z58)&gt;0,1,0)</f>
        <v>0</v>
      </c>
      <c r="AM58" s="22" t="n">
        <f aca="false">IF(SUM(AA58:AC58)&gt;0,1,0)</f>
        <v>0</v>
      </c>
      <c r="AN58" s="22" t="n">
        <f aca="false">IF(SUM(AD58:AF58)&gt;0,1,0)</f>
        <v>1</v>
      </c>
      <c r="AO58" s="22" t="n">
        <f aca="false">IF(SUM(AG58:AI58)&gt;0,1,0)</f>
        <v>0</v>
      </c>
      <c r="AP58" s="28" t="n">
        <f aca="false">IF(AND(AJ58=1,SUM($AJ58:$AO58)=6),$M58/6,IF(AND(AJ58=1,SUM($AJ58:$AO58)=5),$M58/5,IF(AND(AJ58=1,SUM($AJ58:$AO58)=4),$M58/4,IF(AND(AJ58=1,SUM($AJ58:$AO58)=3),$M58/3,IF(AND(AJ58=1,SUM($AJ58:$AO58)=2),$M58/2,IF(AND(AJ58=1,SUM($AJ58:$AO58)=1),$M58,0))))))</f>
        <v>342500</v>
      </c>
      <c r="AQ58" s="28" t="n">
        <f aca="false">IF(AND(AK58=1,SUM($AJ58:$AO58)=6),$M58/6,IF(AND(AK58=1,SUM($AJ58:$AO58)=5),$M58/5,IF(AND(AK58=1,SUM($AJ58:$AO58)=4),$M58/4,IF(AND(AK58=1,SUM($AJ58:$AO58)=3),$M58/3,IF(AND(AK58=1,SUM($AJ58:$AO58)=2),$M58/2,IF(AND(AK58=1,SUM($AJ58:$AO58)=1),$M58,0))))))</f>
        <v>342500</v>
      </c>
      <c r="AR58" s="28" t="n">
        <f aca="false">IF(AND(AL58=1,SUM($AJ58:$AO58)=6),$M58/6,IF(AND(AL58=1,SUM($AJ58:$AO58)=5),$M58/5,IF(AND(AL58=1,SUM($AJ58:$AO58)=4),$M58/4,IF(AND(AL58=1,SUM($AJ58:$AO58)=3),$M58/3,IF(AND(AL58=1,SUM($AJ58:$AO58)=2),$M58/2,IF(AND(AL58=1,SUM($AJ58:$AO58)=1),$M58,0))))))</f>
        <v>0</v>
      </c>
      <c r="AS58" s="28" t="n">
        <f aca="false">IF(AND(AM58=1,SUM($AJ58:$AO58)=6),$M58/6,IF(AND(AM58=1,SUM($AJ58:$AO58)=5),$M58/5,IF(AND(AM58=1,SUM($AJ58:$AO58)=4),$M58/4,IF(AND(AM58=1,SUM($AJ58:$AO58)=3),$M58/3,IF(AND(AM58=1,SUM($AJ58:$AO58)=2),$M58/2,IF(AND(AM58=1,SUM($AJ58:$AO58)=1),$M58,0))))))</f>
        <v>0</v>
      </c>
      <c r="AT58" s="28" t="n">
        <f aca="false">IF(AND(AN58=1,SUM($AJ58:$AO58)=6),$M58/6,IF(AND(AN58=1,SUM($AJ58:$AO58)=5),$M58/5,IF(AND(AN58=1,SUM($AJ58:$AO58)=4),$M58/4,IF(AND(AN58=1,SUM($AJ58:$AO58)=3),$M58/3,IF(AND(AN58=1,SUM($AJ58:$AO58)=2),$M58/2,IF(AND(AN58=1,SUM($AJ58:$AO58)=1),$M58,0))))))</f>
        <v>342500</v>
      </c>
      <c r="AU58" s="28" t="n">
        <f aca="false">IF(AND(AO58=1,SUM($AJ58:$AO58)=6),$M58/6,IF(AND(AO58=1,SUM($AJ58:$AO58)=5),$M58/5,IF(AND(AO58=1,SUM($AJ58:$AO58)=4),$M58/4,IF(AND(AO58=1,SUM($AJ58:$AO58)=3),$M58/3,IF(AND(AO58=1,SUM($AJ58:$AO58)=2),$M58/2,IF(AND(AO58=1,SUM($AJ58:$AO58)=1),$M58,0))))))</f>
        <v>0</v>
      </c>
      <c r="AV58" s="29" t="s">
        <v>114</v>
      </c>
      <c r="AW58" s="29" t="s">
        <v>146</v>
      </c>
      <c r="AX58" s="29" t="s">
        <v>114</v>
      </c>
      <c r="AY58" s="30"/>
      <c r="AZ58" s="29" t="s">
        <v>114</v>
      </c>
      <c r="BA58" s="30" t="s">
        <v>418</v>
      </c>
      <c r="BB58" s="29" t="s">
        <v>116</v>
      </c>
      <c r="BC58" s="30"/>
      <c r="BD58" s="29" t="s">
        <v>117</v>
      </c>
      <c r="BE58" s="29" t="s">
        <v>419</v>
      </c>
      <c r="BF58" s="29" t="s">
        <v>114</v>
      </c>
      <c r="BG58" s="30" t="s">
        <v>119</v>
      </c>
    </row>
    <row r="59" customFormat="false" ht="39.55" hidden="false" customHeight="false" outlineLevel="0" collapsed="false">
      <c r="A59" s="20" t="n">
        <v>57</v>
      </c>
      <c r="B59" s="20" t="s">
        <v>17</v>
      </c>
      <c r="C59" s="20" t="s">
        <v>414</v>
      </c>
      <c r="D59" s="32" t="s">
        <v>420</v>
      </c>
      <c r="E59" s="32" t="s">
        <v>45</v>
      </c>
      <c r="F59" s="21" t="s">
        <v>4</v>
      </c>
      <c r="G59" s="21" t="s">
        <v>109</v>
      </c>
      <c r="H59" s="21"/>
      <c r="I59" s="22" t="s">
        <v>111</v>
      </c>
      <c r="J59" s="22" t="s">
        <v>14</v>
      </c>
      <c r="K59" s="23" t="s">
        <v>130</v>
      </c>
      <c r="L59" s="24" t="n">
        <f aca="false">M59*3600</f>
        <v>3700800000</v>
      </c>
      <c r="M59" s="25" t="n">
        <v>1028000</v>
      </c>
      <c r="N59" s="49"/>
      <c r="O59" s="49" t="s">
        <v>421</v>
      </c>
      <c r="P59" s="49" t="s">
        <v>113</v>
      </c>
      <c r="Q59" s="21"/>
      <c r="R59" s="27"/>
      <c r="S59" s="27"/>
      <c r="T59" s="27"/>
      <c r="U59" s="27" t="n">
        <v>1</v>
      </c>
      <c r="V59" s="27" t="n">
        <v>1</v>
      </c>
      <c r="W59" s="27" t="n">
        <v>1</v>
      </c>
      <c r="X59" s="27" t="n">
        <v>1</v>
      </c>
      <c r="Y59" s="27" t="n">
        <v>1</v>
      </c>
      <c r="Z59" s="27" t="n">
        <v>1</v>
      </c>
      <c r="AA59" s="27" t="n">
        <v>1</v>
      </c>
      <c r="AB59" s="27" t="n">
        <v>1</v>
      </c>
      <c r="AC59" s="27" t="n">
        <v>1</v>
      </c>
      <c r="AD59" s="27" t="n">
        <v>1</v>
      </c>
      <c r="AE59" s="27" t="n">
        <v>1</v>
      </c>
      <c r="AF59" s="27" t="n">
        <v>1</v>
      </c>
      <c r="AG59" s="27"/>
      <c r="AH59" s="27"/>
      <c r="AI59" s="27"/>
      <c r="AJ59" s="22" t="n">
        <f aca="false">IF(SUM(R59:T59)&gt;0,1,0)</f>
        <v>0</v>
      </c>
      <c r="AK59" s="22" t="n">
        <f aca="false">IF(SUM(U59:W59)&gt;0,1,0)</f>
        <v>1</v>
      </c>
      <c r="AL59" s="22" t="n">
        <f aca="false">IF(SUM(X59:Z59)&gt;0,1,0)</f>
        <v>1</v>
      </c>
      <c r="AM59" s="22" t="n">
        <f aca="false">IF(SUM(AA59:AC59)&gt;0,1,0)</f>
        <v>1</v>
      </c>
      <c r="AN59" s="22" t="n">
        <f aca="false">IF(SUM(AD59:AF59)&gt;0,1,0)</f>
        <v>1</v>
      </c>
      <c r="AO59" s="22" t="n">
        <f aca="false">IF(SUM(AG59:AI59)&gt;0,1,0)</f>
        <v>0</v>
      </c>
      <c r="AP59" s="28" t="n">
        <f aca="false">IF(AND(AJ59=1,SUM($AJ59:$AO59)=6),$M59/6,IF(AND(AJ59=1,SUM($AJ59:$AO59)=5),$M59/5,IF(AND(AJ59=1,SUM($AJ59:$AO59)=4),$M59/4,IF(AND(AJ59=1,SUM($AJ59:$AO59)=3),$M59/3,IF(AND(AJ59=1,SUM($AJ59:$AO59)=2),$M59/2,IF(AND(AJ59=1,SUM($AJ59:$AO59)=1),$M59,0))))))</f>
        <v>0</v>
      </c>
      <c r="AQ59" s="28" t="n">
        <f aca="false">IF(AND(AK59=1,SUM($AJ59:$AO59)=6),$M59/6,IF(AND(AK59=1,SUM($AJ59:$AO59)=5),$M59/5,IF(AND(AK59=1,SUM($AJ59:$AO59)=4),$M59/4,IF(AND(AK59=1,SUM($AJ59:$AO59)=3),$M59/3,IF(AND(AK59=1,SUM($AJ59:$AO59)=2),$M59/2,IF(AND(AK59=1,SUM($AJ59:$AO59)=1),$M59,0))))))</f>
        <v>257000</v>
      </c>
      <c r="AR59" s="28" t="n">
        <f aca="false">IF(AND(AL59=1,SUM($AJ59:$AO59)=6),$M59/6,IF(AND(AL59=1,SUM($AJ59:$AO59)=5),$M59/5,IF(AND(AL59=1,SUM($AJ59:$AO59)=4),$M59/4,IF(AND(AL59=1,SUM($AJ59:$AO59)=3),$M59/3,IF(AND(AL59=1,SUM($AJ59:$AO59)=2),$M59/2,IF(AND(AL59=1,SUM($AJ59:$AO59)=1),$M59,0))))))</f>
        <v>257000</v>
      </c>
      <c r="AS59" s="28" t="n">
        <f aca="false">IF(AND(AM59=1,SUM($AJ59:$AO59)=6),$M59/6,IF(AND(AM59=1,SUM($AJ59:$AO59)=5),$M59/5,IF(AND(AM59=1,SUM($AJ59:$AO59)=4),$M59/4,IF(AND(AM59=1,SUM($AJ59:$AO59)=3),$M59/3,IF(AND(AM59=1,SUM($AJ59:$AO59)=2),$M59/2,IF(AND(AM59=1,SUM($AJ59:$AO59)=1),$M59,0))))))</f>
        <v>257000</v>
      </c>
      <c r="AT59" s="28" t="n">
        <f aca="false">IF(AND(AN59=1,SUM($AJ59:$AO59)=6),$M59/6,IF(AND(AN59=1,SUM($AJ59:$AO59)=5),$M59/5,IF(AND(AN59=1,SUM($AJ59:$AO59)=4),$M59/4,IF(AND(AN59=1,SUM($AJ59:$AO59)=3),$M59/3,IF(AND(AN59=1,SUM($AJ59:$AO59)=2),$M59/2,IF(AND(AN59=1,SUM($AJ59:$AO59)=1),$M59,0))))))</f>
        <v>257000</v>
      </c>
      <c r="AU59" s="28" t="n">
        <f aca="false">IF(AND(AO59=1,SUM($AJ59:$AO59)=6),$M59/6,IF(AND(AO59=1,SUM($AJ59:$AO59)=5),$M59/5,IF(AND(AO59=1,SUM($AJ59:$AO59)=4),$M59/4,IF(AND(AO59=1,SUM($AJ59:$AO59)=3),$M59/3,IF(AND(AO59=1,SUM($AJ59:$AO59)=2),$M59/2,IF(AND(AO59=1,SUM($AJ59:$AO59)=1),$M59,0))))))</f>
        <v>0</v>
      </c>
      <c r="AV59" s="29" t="s">
        <v>114</v>
      </c>
      <c r="AW59" s="29" t="s">
        <v>155</v>
      </c>
      <c r="AX59" s="29" t="s">
        <v>114</v>
      </c>
      <c r="AY59" s="30"/>
      <c r="AZ59" s="29" t="s">
        <v>114</v>
      </c>
      <c r="BA59" s="30" t="s">
        <v>422</v>
      </c>
      <c r="BB59" s="29" t="s">
        <v>116</v>
      </c>
      <c r="BC59" s="30"/>
      <c r="BD59" s="29" t="s">
        <v>114</v>
      </c>
      <c r="BE59" s="29" t="s">
        <v>423</v>
      </c>
      <c r="BF59" s="29" t="s">
        <v>117</v>
      </c>
      <c r="BG59" s="30" t="s">
        <v>119</v>
      </c>
    </row>
    <row r="60" customFormat="false" ht="39.55" hidden="false" customHeight="false" outlineLevel="0" collapsed="false">
      <c r="A60" s="20" t="n">
        <v>58</v>
      </c>
      <c r="B60" s="20" t="s">
        <v>17</v>
      </c>
      <c r="C60" s="20" t="s">
        <v>107</v>
      </c>
      <c r="D60" s="20" t="s">
        <v>424</v>
      </c>
      <c r="E60" s="20" t="s">
        <v>45</v>
      </c>
      <c r="F60" s="21" t="s">
        <v>4</v>
      </c>
      <c r="G60" s="21" t="s">
        <v>109</v>
      </c>
      <c r="H60" s="21" t="s">
        <v>233</v>
      </c>
      <c r="I60" s="22" t="s">
        <v>111</v>
      </c>
      <c r="J60" s="22" t="s">
        <v>16</v>
      </c>
      <c r="K60" s="23" t="s">
        <v>16</v>
      </c>
      <c r="L60" s="24" t="n">
        <f aca="false">M60*3600</f>
        <v>3702600000</v>
      </c>
      <c r="M60" s="25" t="n">
        <v>1028500</v>
      </c>
      <c r="N60" s="21"/>
      <c r="O60" s="21" t="s">
        <v>369</v>
      </c>
      <c r="P60" s="21" t="s">
        <v>425</v>
      </c>
      <c r="Q60" s="21"/>
      <c r="R60" s="27" t="n">
        <v>1</v>
      </c>
      <c r="S60" s="27" t="n">
        <v>1</v>
      </c>
      <c r="T60" s="27" t="n">
        <v>1</v>
      </c>
      <c r="U60" s="27" t="n">
        <v>1</v>
      </c>
      <c r="V60" s="27" t="n">
        <v>1</v>
      </c>
      <c r="W60" s="27" t="n">
        <v>1</v>
      </c>
      <c r="X60" s="27" t="n">
        <v>1</v>
      </c>
      <c r="Y60" s="27" t="n">
        <v>1</v>
      </c>
      <c r="Z60" s="27" t="n">
        <v>1</v>
      </c>
      <c r="AA60" s="27" t="n">
        <v>1</v>
      </c>
      <c r="AB60" s="27" t="n">
        <v>1</v>
      </c>
      <c r="AC60" s="27" t="n">
        <v>1</v>
      </c>
      <c r="AD60" s="27" t="n">
        <v>1</v>
      </c>
      <c r="AE60" s="27" t="n">
        <v>1</v>
      </c>
      <c r="AF60" s="27" t="n">
        <v>1</v>
      </c>
      <c r="AG60" s="27" t="n">
        <v>1</v>
      </c>
      <c r="AH60" s="27" t="n">
        <v>1</v>
      </c>
      <c r="AI60" s="27" t="n">
        <v>1</v>
      </c>
      <c r="AJ60" s="22" t="n">
        <f aca="false">IF(SUM(R60:T60)&gt;0,1,0)</f>
        <v>1</v>
      </c>
      <c r="AK60" s="22" t="n">
        <f aca="false">IF(SUM(U60:W60)&gt;0,1,0)</f>
        <v>1</v>
      </c>
      <c r="AL60" s="22" t="n">
        <f aca="false">IF(SUM(X60:Z60)&gt;0,1,0)</f>
        <v>1</v>
      </c>
      <c r="AM60" s="22" t="n">
        <f aca="false">IF(SUM(AA60:AC60)&gt;0,1,0)</f>
        <v>1</v>
      </c>
      <c r="AN60" s="22" t="n">
        <f aca="false">IF(SUM(AD60:AF60)&gt;0,1,0)</f>
        <v>1</v>
      </c>
      <c r="AO60" s="22" t="n">
        <f aca="false">IF(SUM(AG60:AI60)&gt;0,1,0)</f>
        <v>1</v>
      </c>
      <c r="AP60" s="28" t="n">
        <f aca="false">IF(AND(AJ60=1,SUM($AJ60:$AO60)=6),$M60/6,IF(AND(AJ60=1,SUM($AJ60:$AO60)=5),$M60/5,IF(AND(AJ60=1,SUM($AJ60:$AO60)=4),$M60/4,IF(AND(AJ60=1,SUM($AJ60:$AO60)=3),$M60/3,IF(AND(AJ60=1,SUM($AJ60:$AO60)=2),$M60/2,IF(AND(AJ60=1,SUM($AJ60:$AO60)=1),$M60,0))))))</f>
        <v>171416.666666667</v>
      </c>
      <c r="AQ60" s="28" t="n">
        <f aca="false">IF(AND(AK60=1,SUM($AJ60:$AO60)=6),$M60/6,IF(AND(AK60=1,SUM($AJ60:$AO60)=5),$M60/5,IF(AND(AK60=1,SUM($AJ60:$AO60)=4),$M60/4,IF(AND(AK60=1,SUM($AJ60:$AO60)=3),$M60/3,IF(AND(AK60=1,SUM($AJ60:$AO60)=2),$M60/2,IF(AND(AK60=1,SUM($AJ60:$AO60)=1),$M60,0))))))</f>
        <v>171416.666666667</v>
      </c>
      <c r="AR60" s="28" t="n">
        <f aca="false">IF(AND(AL60=1,SUM($AJ60:$AO60)=6),$M60/6,IF(AND(AL60=1,SUM($AJ60:$AO60)=5),$M60/5,IF(AND(AL60=1,SUM($AJ60:$AO60)=4),$M60/4,IF(AND(AL60=1,SUM($AJ60:$AO60)=3),$M60/3,IF(AND(AL60=1,SUM($AJ60:$AO60)=2),$M60/2,IF(AND(AL60=1,SUM($AJ60:$AO60)=1),$M60,0))))))</f>
        <v>171416.666666667</v>
      </c>
      <c r="AS60" s="28" t="n">
        <f aca="false">IF(AND(AM60=1,SUM($AJ60:$AO60)=6),$M60/6,IF(AND(AM60=1,SUM($AJ60:$AO60)=5),$M60/5,IF(AND(AM60=1,SUM($AJ60:$AO60)=4),$M60/4,IF(AND(AM60=1,SUM($AJ60:$AO60)=3),$M60/3,IF(AND(AM60=1,SUM($AJ60:$AO60)=2),$M60/2,IF(AND(AM60=1,SUM($AJ60:$AO60)=1),$M60,0))))))</f>
        <v>171416.666666667</v>
      </c>
      <c r="AT60" s="28" t="n">
        <f aca="false">IF(AND(AN60=1,SUM($AJ60:$AO60)=6),$M60/6,IF(AND(AN60=1,SUM($AJ60:$AO60)=5),$M60/5,IF(AND(AN60=1,SUM($AJ60:$AO60)=4),$M60/4,IF(AND(AN60=1,SUM($AJ60:$AO60)=3),$M60/3,IF(AND(AN60=1,SUM($AJ60:$AO60)=2),$M60/2,IF(AND(AN60=1,SUM($AJ60:$AO60)=1),$M60,0))))))</f>
        <v>171416.666666667</v>
      </c>
      <c r="AU60" s="28" t="n">
        <f aca="false">IF(AND(AO60=1,SUM($AJ60:$AO60)=6),$M60/6,IF(AND(AO60=1,SUM($AJ60:$AO60)=5),$M60/5,IF(AND(AO60=1,SUM($AJ60:$AO60)=4),$M60/4,IF(AND(AO60=1,SUM($AJ60:$AO60)=3),$M60/3,IF(AND(AO60=1,SUM($AJ60:$AO60)=2),$M60/2,IF(AND(AO60=1,SUM($AJ60:$AO60)=1),$M60,0))))))</f>
        <v>171416.666666667</v>
      </c>
      <c r="AV60" s="29" t="s">
        <v>114</v>
      </c>
      <c r="AW60" s="29" t="s">
        <v>162</v>
      </c>
      <c r="AX60" s="29" t="s">
        <v>114</v>
      </c>
      <c r="AY60" s="26"/>
      <c r="AZ60" s="29" t="s">
        <v>114</v>
      </c>
      <c r="BA60" s="30" t="s">
        <v>426</v>
      </c>
      <c r="BB60" s="29" t="s">
        <v>114</v>
      </c>
      <c r="BC60" s="26"/>
      <c r="BD60" s="29" t="s">
        <v>114</v>
      </c>
      <c r="BE60" s="29" t="s">
        <v>427</v>
      </c>
      <c r="BF60" s="29" t="s">
        <v>117</v>
      </c>
      <c r="BG60" s="30" t="s">
        <v>119</v>
      </c>
    </row>
    <row r="61" customFormat="false" ht="39.55" hidden="false" customHeight="false" outlineLevel="0" collapsed="false">
      <c r="A61" s="20" t="n">
        <v>59</v>
      </c>
      <c r="B61" s="20" t="s">
        <v>17</v>
      </c>
      <c r="C61" s="20" t="s">
        <v>107</v>
      </c>
      <c r="D61" s="32" t="s">
        <v>428</v>
      </c>
      <c r="E61" s="32" t="s">
        <v>45</v>
      </c>
      <c r="F61" s="21" t="s">
        <v>4</v>
      </c>
      <c r="G61" s="21" t="s">
        <v>109</v>
      </c>
      <c r="H61" s="21" t="s">
        <v>121</v>
      </c>
      <c r="I61" s="22" t="s">
        <v>111</v>
      </c>
      <c r="J61" s="22" t="s">
        <v>16</v>
      </c>
      <c r="K61" s="23" t="s">
        <v>122</v>
      </c>
      <c r="L61" s="24" t="n">
        <f aca="false">M61*3600</f>
        <v>3704400000</v>
      </c>
      <c r="M61" s="25" t="n">
        <v>1029000</v>
      </c>
      <c r="N61" s="21" t="s">
        <v>429</v>
      </c>
      <c r="O61" s="21" t="s">
        <v>240</v>
      </c>
      <c r="P61" s="38" t="s">
        <v>302</v>
      </c>
      <c r="Q61" s="21"/>
      <c r="R61" s="27" t="n">
        <v>1</v>
      </c>
      <c r="S61" s="27" t="n">
        <v>1</v>
      </c>
      <c r="T61" s="27" t="n">
        <v>1</v>
      </c>
      <c r="U61" s="27" t="n">
        <v>1</v>
      </c>
      <c r="V61" s="27" t="n">
        <v>1</v>
      </c>
      <c r="W61" s="27" t="n">
        <v>1</v>
      </c>
      <c r="X61" s="27" t="n">
        <v>1</v>
      </c>
      <c r="Y61" s="27" t="n">
        <v>1</v>
      </c>
      <c r="Z61" s="27" t="n">
        <v>1</v>
      </c>
      <c r="AA61" s="27" t="n">
        <v>1</v>
      </c>
      <c r="AB61" s="27" t="n">
        <v>1</v>
      </c>
      <c r="AC61" s="27" t="n">
        <v>1</v>
      </c>
      <c r="AD61" s="27" t="n">
        <v>1</v>
      </c>
      <c r="AE61" s="27" t="n">
        <v>1</v>
      </c>
      <c r="AF61" s="27" t="n">
        <v>1</v>
      </c>
      <c r="AG61" s="27" t="n">
        <v>1</v>
      </c>
      <c r="AH61" s="27" t="n">
        <v>1</v>
      </c>
      <c r="AI61" s="27" t="n">
        <v>1</v>
      </c>
      <c r="AJ61" s="22" t="n">
        <f aca="false">IF(SUM(R61:T61)&gt;0,1,0)</f>
        <v>1</v>
      </c>
      <c r="AK61" s="22" t="n">
        <f aca="false">IF(SUM(U61:W61)&gt;0,1,0)</f>
        <v>1</v>
      </c>
      <c r="AL61" s="22" t="n">
        <f aca="false">IF(SUM(X61:Z61)&gt;0,1,0)</f>
        <v>1</v>
      </c>
      <c r="AM61" s="22" t="n">
        <f aca="false">IF(SUM(AA61:AC61)&gt;0,1,0)</f>
        <v>1</v>
      </c>
      <c r="AN61" s="22" t="n">
        <f aca="false">IF(SUM(AD61:AF61)&gt;0,1,0)</f>
        <v>1</v>
      </c>
      <c r="AO61" s="22" t="n">
        <f aca="false">IF(SUM(AG61:AI61)&gt;0,1,0)</f>
        <v>1</v>
      </c>
      <c r="AP61" s="28" t="n">
        <f aca="false">IF(AND(AJ61=1,SUM($AJ61:$AO61)=6),$M61/6,IF(AND(AJ61=1,SUM($AJ61:$AO61)=5),$M61/5,IF(AND(AJ61=1,SUM($AJ61:$AO61)=4),$M61/4,IF(AND(AJ61=1,SUM($AJ61:$AO61)=3),$M61/3,IF(AND(AJ61=1,SUM($AJ61:$AO61)=2),$M61/2,IF(AND(AJ61=1,SUM($AJ61:$AO61)=1),$M61,0))))))</f>
        <v>171500</v>
      </c>
      <c r="AQ61" s="28" t="n">
        <f aca="false">IF(AND(AK61=1,SUM($AJ61:$AO61)=6),$M61/6,IF(AND(AK61=1,SUM($AJ61:$AO61)=5),$M61/5,IF(AND(AK61=1,SUM($AJ61:$AO61)=4),$M61/4,IF(AND(AK61=1,SUM($AJ61:$AO61)=3),$M61/3,IF(AND(AK61=1,SUM($AJ61:$AO61)=2),$M61/2,IF(AND(AK61=1,SUM($AJ61:$AO61)=1),$M61,0))))))</f>
        <v>171500</v>
      </c>
      <c r="AR61" s="28" t="n">
        <f aca="false">IF(AND(AL61=1,SUM($AJ61:$AO61)=6),$M61/6,IF(AND(AL61=1,SUM($AJ61:$AO61)=5),$M61/5,IF(AND(AL61=1,SUM($AJ61:$AO61)=4),$M61/4,IF(AND(AL61=1,SUM($AJ61:$AO61)=3),$M61/3,IF(AND(AL61=1,SUM($AJ61:$AO61)=2),$M61/2,IF(AND(AL61=1,SUM($AJ61:$AO61)=1),$M61,0))))))</f>
        <v>171500</v>
      </c>
      <c r="AS61" s="28" t="n">
        <f aca="false">IF(AND(AM61=1,SUM($AJ61:$AO61)=6),$M61/6,IF(AND(AM61=1,SUM($AJ61:$AO61)=5),$M61/5,IF(AND(AM61=1,SUM($AJ61:$AO61)=4),$M61/4,IF(AND(AM61=1,SUM($AJ61:$AO61)=3),$M61/3,IF(AND(AM61=1,SUM($AJ61:$AO61)=2),$M61/2,IF(AND(AM61=1,SUM($AJ61:$AO61)=1),$M61,0))))))</f>
        <v>171500</v>
      </c>
      <c r="AT61" s="28" t="n">
        <f aca="false">IF(AND(AN61=1,SUM($AJ61:$AO61)=6),$M61/6,IF(AND(AN61=1,SUM($AJ61:$AO61)=5),$M61/5,IF(AND(AN61=1,SUM($AJ61:$AO61)=4),$M61/4,IF(AND(AN61=1,SUM($AJ61:$AO61)=3),$M61/3,IF(AND(AN61=1,SUM($AJ61:$AO61)=2),$M61/2,IF(AND(AN61=1,SUM($AJ61:$AO61)=1),$M61,0))))))</f>
        <v>171500</v>
      </c>
      <c r="AU61" s="28" t="n">
        <f aca="false">IF(AND(AO61=1,SUM($AJ61:$AO61)=6),$M61/6,IF(AND(AO61=1,SUM($AJ61:$AO61)=5),$M61/5,IF(AND(AO61=1,SUM($AJ61:$AO61)=4),$M61/4,IF(AND(AO61=1,SUM($AJ61:$AO61)=3),$M61/3,IF(AND(AO61=1,SUM($AJ61:$AO61)=2),$M61/2,IF(AND(AO61=1,SUM($AJ61:$AO61)=1),$M61,0))))))</f>
        <v>171500</v>
      </c>
      <c r="AV61" s="29" t="s">
        <v>114</v>
      </c>
      <c r="AW61" s="29" t="s">
        <v>167</v>
      </c>
      <c r="AX61" s="29" t="s">
        <v>114</v>
      </c>
      <c r="AY61" s="30"/>
      <c r="AZ61" s="29" t="s">
        <v>117</v>
      </c>
      <c r="BA61" s="30" t="s">
        <v>430</v>
      </c>
      <c r="BB61" s="29" t="s">
        <v>114</v>
      </c>
      <c r="BC61" s="30"/>
      <c r="BD61" s="29" t="s">
        <v>114</v>
      </c>
      <c r="BE61" s="29" t="s">
        <v>431</v>
      </c>
      <c r="BF61" s="29" t="s">
        <v>117</v>
      </c>
      <c r="BG61" s="30" t="s">
        <v>119</v>
      </c>
    </row>
    <row r="62" customFormat="false" ht="39.55" hidden="false" customHeight="false" outlineLevel="0" collapsed="false">
      <c r="A62" s="20" t="n">
        <v>60</v>
      </c>
      <c r="B62" s="20" t="s">
        <v>17</v>
      </c>
      <c r="C62" s="20" t="s">
        <v>329</v>
      </c>
      <c r="D62" s="32" t="s">
        <v>432</v>
      </c>
      <c r="E62" s="32" t="s">
        <v>45</v>
      </c>
      <c r="F62" s="21" t="s">
        <v>4</v>
      </c>
      <c r="G62" s="21" t="s">
        <v>109</v>
      </c>
      <c r="H62" s="21" t="s">
        <v>149</v>
      </c>
      <c r="I62" s="22" t="s">
        <v>111</v>
      </c>
      <c r="J62" s="22" t="s">
        <v>18</v>
      </c>
      <c r="K62" s="23" t="s">
        <v>130</v>
      </c>
      <c r="L62" s="24" t="n">
        <f aca="false">M62*3600</f>
        <v>3706200000</v>
      </c>
      <c r="M62" s="25" t="n">
        <v>1029500</v>
      </c>
      <c r="N62" s="21" t="s">
        <v>433</v>
      </c>
      <c r="O62" s="21" t="s">
        <v>240</v>
      </c>
      <c r="P62" s="21" t="s">
        <v>211</v>
      </c>
      <c r="Q62" s="21"/>
      <c r="R62" s="27" t="n">
        <v>1</v>
      </c>
      <c r="S62" s="27" t="n">
        <v>1</v>
      </c>
      <c r="T62" s="27" t="n">
        <v>1</v>
      </c>
      <c r="U62" s="27" t="n">
        <v>1</v>
      </c>
      <c r="V62" s="27" t="n">
        <v>1</v>
      </c>
      <c r="W62" s="27" t="n">
        <v>1</v>
      </c>
      <c r="X62" s="27" t="n">
        <v>1</v>
      </c>
      <c r="Y62" s="27" t="n">
        <v>1</v>
      </c>
      <c r="Z62" s="27" t="n">
        <v>1</v>
      </c>
      <c r="AA62" s="27" t="n">
        <v>1</v>
      </c>
      <c r="AB62" s="27" t="n">
        <v>1</v>
      </c>
      <c r="AC62" s="27" t="n">
        <v>1</v>
      </c>
      <c r="AD62" s="27" t="n">
        <v>1</v>
      </c>
      <c r="AE62" s="27" t="n">
        <v>1</v>
      </c>
      <c r="AF62" s="27" t="n">
        <v>1</v>
      </c>
      <c r="AG62" s="27" t="n">
        <v>1</v>
      </c>
      <c r="AH62" s="27" t="n">
        <v>1</v>
      </c>
      <c r="AI62" s="27" t="n">
        <v>1</v>
      </c>
      <c r="AJ62" s="22" t="n">
        <f aca="false">IF(SUM(R62:T62)&gt;0,1,0)</f>
        <v>1</v>
      </c>
      <c r="AK62" s="22" t="n">
        <f aca="false">IF(SUM(U62:W62)&gt;0,1,0)</f>
        <v>1</v>
      </c>
      <c r="AL62" s="22" t="n">
        <f aca="false">IF(SUM(X62:Z62)&gt;0,1,0)</f>
        <v>1</v>
      </c>
      <c r="AM62" s="22" t="n">
        <f aca="false">IF(SUM(AA62:AC62)&gt;0,1,0)</f>
        <v>1</v>
      </c>
      <c r="AN62" s="22" t="n">
        <f aca="false">IF(SUM(AD62:AF62)&gt;0,1,0)</f>
        <v>1</v>
      </c>
      <c r="AO62" s="22" t="n">
        <f aca="false">IF(SUM(AG62:AI62)&gt;0,1,0)</f>
        <v>1</v>
      </c>
      <c r="AP62" s="28" t="n">
        <f aca="false">IF(AND(AJ62=1,SUM($AJ62:$AO62)=6),$M62/6,IF(AND(AJ62=1,SUM($AJ62:$AO62)=5),$M62/5,IF(AND(AJ62=1,SUM($AJ62:$AO62)=4),$M62/4,IF(AND(AJ62=1,SUM($AJ62:$AO62)=3),$M62/3,IF(AND(AJ62=1,SUM($AJ62:$AO62)=2),$M62/2,IF(AND(AJ62=1,SUM($AJ62:$AO62)=1),$M62,0))))))</f>
        <v>171583.333333333</v>
      </c>
      <c r="AQ62" s="28" t="n">
        <f aca="false">IF(AND(AK62=1,SUM($AJ62:$AO62)=6),$M62/6,IF(AND(AK62=1,SUM($AJ62:$AO62)=5),$M62/5,IF(AND(AK62=1,SUM($AJ62:$AO62)=4),$M62/4,IF(AND(AK62=1,SUM($AJ62:$AO62)=3),$M62/3,IF(AND(AK62=1,SUM($AJ62:$AO62)=2),$M62/2,IF(AND(AK62=1,SUM($AJ62:$AO62)=1),$M62,0))))))</f>
        <v>171583.333333333</v>
      </c>
      <c r="AR62" s="28" t="n">
        <f aca="false">IF(AND(AL62=1,SUM($AJ62:$AO62)=6),$M62/6,IF(AND(AL62=1,SUM($AJ62:$AO62)=5),$M62/5,IF(AND(AL62=1,SUM($AJ62:$AO62)=4),$M62/4,IF(AND(AL62=1,SUM($AJ62:$AO62)=3),$M62/3,IF(AND(AL62=1,SUM($AJ62:$AO62)=2),$M62/2,IF(AND(AL62=1,SUM($AJ62:$AO62)=1),$M62,0))))))</f>
        <v>171583.333333333</v>
      </c>
      <c r="AS62" s="28" t="n">
        <f aca="false">IF(AND(AM62=1,SUM($AJ62:$AO62)=6),$M62/6,IF(AND(AM62=1,SUM($AJ62:$AO62)=5),$M62/5,IF(AND(AM62=1,SUM($AJ62:$AO62)=4),$M62/4,IF(AND(AM62=1,SUM($AJ62:$AO62)=3),$M62/3,IF(AND(AM62=1,SUM($AJ62:$AO62)=2),$M62/2,IF(AND(AM62=1,SUM($AJ62:$AO62)=1),$M62,0))))))</f>
        <v>171583.333333333</v>
      </c>
      <c r="AT62" s="28" t="n">
        <f aca="false">IF(AND(AN62=1,SUM($AJ62:$AO62)=6),$M62/6,IF(AND(AN62=1,SUM($AJ62:$AO62)=5),$M62/5,IF(AND(AN62=1,SUM($AJ62:$AO62)=4),$M62/4,IF(AND(AN62=1,SUM($AJ62:$AO62)=3),$M62/3,IF(AND(AN62=1,SUM($AJ62:$AO62)=2),$M62/2,IF(AND(AN62=1,SUM($AJ62:$AO62)=1),$M62,0))))))</f>
        <v>171583.333333333</v>
      </c>
      <c r="AU62" s="28" t="n">
        <f aca="false">IF(AND(AO62=1,SUM($AJ62:$AO62)=6),$M62/6,IF(AND(AO62=1,SUM($AJ62:$AO62)=5),$M62/5,IF(AND(AO62=1,SUM($AJ62:$AO62)=4),$M62/4,IF(AND(AO62=1,SUM($AJ62:$AO62)=3),$M62/3,IF(AND(AO62=1,SUM($AJ62:$AO62)=2),$M62/2,IF(AND(AO62=1,SUM($AJ62:$AO62)=1),$M62,0))))))</f>
        <v>171583.333333333</v>
      </c>
      <c r="AV62" s="29" t="s">
        <v>114</v>
      </c>
      <c r="AW62" s="29" t="s">
        <v>172</v>
      </c>
      <c r="AX62" s="29" t="s">
        <v>114</v>
      </c>
      <c r="AY62" s="30"/>
      <c r="AZ62" s="29" t="s">
        <v>117</v>
      </c>
      <c r="BA62" s="30" t="s">
        <v>434</v>
      </c>
      <c r="BB62" s="29" t="s">
        <v>114</v>
      </c>
      <c r="BC62" s="30"/>
      <c r="BD62" s="26" t="s">
        <v>116</v>
      </c>
      <c r="BE62" s="29" t="s">
        <v>435</v>
      </c>
      <c r="BF62" s="29" t="s">
        <v>117</v>
      </c>
      <c r="BG62" s="30" t="s">
        <v>119</v>
      </c>
    </row>
    <row r="63" customFormat="false" ht="26.85" hidden="false" customHeight="false" outlineLevel="0" collapsed="false">
      <c r="A63" s="20" t="n">
        <v>61</v>
      </c>
      <c r="B63" s="20" t="s">
        <v>17</v>
      </c>
      <c r="C63" s="20" t="s">
        <v>329</v>
      </c>
      <c r="D63" s="32" t="s">
        <v>436</v>
      </c>
      <c r="E63" s="32" t="s">
        <v>45</v>
      </c>
      <c r="F63" s="21" t="s">
        <v>4</v>
      </c>
      <c r="G63" s="21" t="s">
        <v>109</v>
      </c>
      <c r="H63" s="21" t="s">
        <v>149</v>
      </c>
      <c r="I63" s="22" t="s">
        <v>111</v>
      </c>
      <c r="J63" s="22" t="s">
        <v>18</v>
      </c>
      <c r="K63" s="23" t="s">
        <v>16</v>
      </c>
      <c r="L63" s="24" t="n">
        <f aca="false">M63*3600</f>
        <v>3708000000</v>
      </c>
      <c r="M63" s="25" t="n">
        <v>1030000</v>
      </c>
      <c r="N63" s="21"/>
      <c r="O63" s="21" t="s">
        <v>240</v>
      </c>
      <c r="P63" s="21" t="s">
        <v>211</v>
      </c>
      <c r="Q63" s="21"/>
      <c r="R63" s="27" t="n">
        <v>1</v>
      </c>
      <c r="S63" s="27" t="n">
        <v>1</v>
      </c>
      <c r="T63" s="27" t="n">
        <v>1</v>
      </c>
      <c r="U63" s="27" t="n">
        <v>1</v>
      </c>
      <c r="V63" s="27" t="n">
        <v>1</v>
      </c>
      <c r="W63" s="27" t="n">
        <v>1</v>
      </c>
      <c r="X63" s="27" t="n">
        <v>1</v>
      </c>
      <c r="Y63" s="27" t="n">
        <v>1</v>
      </c>
      <c r="Z63" s="27" t="n">
        <v>1</v>
      </c>
      <c r="AA63" s="27" t="n">
        <v>1</v>
      </c>
      <c r="AB63" s="27" t="n">
        <v>1</v>
      </c>
      <c r="AC63" s="27" t="n">
        <v>1</v>
      </c>
      <c r="AD63" s="27" t="n">
        <v>1</v>
      </c>
      <c r="AE63" s="27" t="n">
        <v>1</v>
      </c>
      <c r="AF63" s="27" t="n">
        <v>1</v>
      </c>
      <c r="AG63" s="27" t="n">
        <v>1</v>
      </c>
      <c r="AH63" s="27" t="n">
        <v>1</v>
      </c>
      <c r="AI63" s="27" t="n">
        <v>1</v>
      </c>
      <c r="AJ63" s="22" t="n">
        <f aca="false">IF(SUM(R63:T63)&gt;0,1,0)</f>
        <v>1</v>
      </c>
      <c r="AK63" s="22" t="n">
        <f aca="false">IF(SUM(U63:W63)&gt;0,1,0)</f>
        <v>1</v>
      </c>
      <c r="AL63" s="22" t="n">
        <f aca="false">IF(SUM(X63:Z63)&gt;0,1,0)</f>
        <v>1</v>
      </c>
      <c r="AM63" s="22" t="n">
        <f aca="false">IF(SUM(AA63:AC63)&gt;0,1,0)</f>
        <v>1</v>
      </c>
      <c r="AN63" s="22" t="n">
        <f aca="false">IF(SUM(AD63:AF63)&gt;0,1,0)</f>
        <v>1</v>
      </c>
      <c r="AO63" s="22" t="n">
        <f aca="false">IF(SUM(AG63:AI63)&gt;0,1,0)</f>
        <v>1</v>
      </c>
      <c r="AP63" s="28" t="n">
        <f aca="false">IF(AND(AJ63=1,SUM($AJ63:$AO63)=6),$M63/6,IF(AND(AJ63=1,SUM($AJ63:$AO63)=5),$M63/5,IF(AND(AJ63=1,SUM($AJ63:$AO63)=4),$M63/4,IF(AND(AJ63=1,SUM($AJ63:$AO63)=3),$M63/3,IF(AND(AJ63=1,SUM($AJ63:$AO63)=2),$M63/2,IF(AND(AJ63=1,SUM($AJ63:$AO63)=1),$M63,0))))))</f>
        <v>171666.666666667</v>
      </c>
      <c r="AQ63" s="28" t="n">
        <f aca="false">IF(AND(AK63=1,SUM($AJ63:$AO63)=6),$M63/6,IF(AND(AK63=1,SUM($AJ63:$AO63)=5),$M63/5,IF(AND(AK63=1,SUM($AJ63:$AO63)=4),$M63/4,IF(AND(AK63=1,SUM($AJ63:$AO63)=3),$M63/3,IF(AND(AK63=1,SUM($AJ63:$AO63)=2),$M63/2,IF(AND(AK63=1,SUM($AJ63:$AO63)=1),$M63,0))))))</f>
        <v>171666.666666667</v>
      </c>
      <c r="AR63" s="28" t="n">
        <f aca="false">IF(AND(AL63=1,SUM($AJ63:$AO63)=6),$M63/6,IF(AND(AL63=1,SUM($AJ63:$AO63)=5),$M63/5,IF(AND(AL63=1,SUM($AJ63:$AO63)=4),$M63/4,IF(AND(AL63=1,SUM($AJ63:$AO63)=3),$M63/3,IF(AND(AL63=1,SUM($AJ63:$AO63)=2),$M63/2,IF(AND(AL63=1,SUM($AJ63:$AO63)=1),$M63,0))))))</f>
        <v>171666.666666667</v>
      </c>
      <c r="AS63" s="28" t="n">
        <f aca="false">IF(AND(AM63=1,SUM($AJ63:$AO63)=6),$M63/6,IF(AND(AM63=1,SUM($AJ63:$AO63)=5),$M63/5,IF(AND(AM63=1,SUM($AJ63:$AO63)=4),$M63/4,IF(AND(AM63=1,SUM($AJ63:$AO63)=3),$M63/3,IF(AND(AM63=1,SUM($AJ63:$AO63)=2),$M63/2,IF(AND(AM63=1,SUM($AJ63:$AO63)=1),$M63,0))))))</f>
        <v>171666.666666667</v>
      </c>
      <c r="AT63" s="28" t="n">
        <f aca="false">IF(AND(AN63=1,SUM($AJ63:$AO63)=6),$M63/6,IF(AND(AN63=1,SUM($AJ63:$AO63)=5),$M63/5,IF(AND(AN63=1,SUM($AJ63:$AO63)=4),$M63/4,IF(AND(AN63=1,SUM($AJ63:$AO63)=3),$M63/3,IF(AND(AN63=1,SUM($AJ63:$AO63)=2),$M63/2,IF(AND(AN63=1,SUM($AJ63:$AO63)=1),$M63,0))))))</f>
        <v>171666.666666667</v>
      </c>
      <c r="AU63" s="28" t="n">
        <f aca="false">IF(AND(AO63=1,SUM($AJ63:$AO63)=6),$M63/6,IF(AND(AO63=1,SUM($AJ63:$AO63)=5),$M63/5,IF(AND(AO63=1,SUM($AJ63:$AO63)=4),$M63/4,IF(AND(AO63=1,SUM($AJ63:$AO63)=3),$M63/3,IF(AND(AO63=1,SUM($AJ63:$AO63)=2),$M63/2,IF(AND(AO63=1,SUM($AJ63:$AO63)=1),$M63,0))))))</f>
        <v>171666.666666667</v>
      </c>
      <c r="AV63" s="29" t="s">
        <v>114</v>
      </c>
      <c r="AW63" s="29" t="s">
        <v>177</v>
      </c>
      <c r="AX63" s="29" t="s">
        <v>114</v>
      </c>
      <c r="AY63" s="30"/>
      <c r="AZ63" s="29" t="s">
        <v>117</v>
      </c>
      <c r="BA63" s="30" t="s">
        <v>437</v>
      </c>
      <c r="BB63" s="29" t="s">
        <v>114</v>
      </c>
      <c r="BC63" s="30"/>
      <c r="BD63" s="26" t="s">
        <v>116</v>
      </c>
      <c r="BE63" s="29" t="s">
        <v>438</v>
      </c>
      <c r="BF63" s="29" t="s">
        <v>114</v>
      </c>
      <c r="BG63" s="30" t="s">
        <v>119</v>
      </c>
    </row>
    <row r="64" customFormat="false" ht="39.55" hidden="false" customHeight="false" outlineLevel="0" collapsed="false">
      <c r="A64" s="20" t="n">
        <v>62</v>
      </c>
      <c r="B64" s="20" t="s">
        <v>17</v>
      </c>
      <c r="C64" s="20" t="s">
        <v>107</v>
      </c>
      <c r="D64" s="32" t="s">
        <v>439</v>
      </c>
      <c r="E64" s="32" t="s">
        <v>45</v>
      </c>
      <c r="F64" s="21" t="s">
        <v>4</v>
      </c>
      <c r="G64" s="21" t="s">
        <v>109</v>
      </c>
      <c r="H64" s="21" t="s">
        <v>110</v>
      </c>
      <c r="I64" s="22" t="s">
        <v>111</v>
      </c>
      <c r="J64" s="22" t="s">
        <v>18</v>
      </c>
      <c r="K64" s="23" t="s">
        <v>122</v>
      </c>
      <c r="L64" s="24" t="n">
        <f aca="false">M64*3600</f>
        <v>3709800000</v>
      </c>
      <c r="M64" s="25" t="n">
        <v>1030500</v>
      </c>
      <c r="N64" s="21" t="s">
        <v>440</v>
      </c>
      <c r="O64" s="21" t="s">
        <v>441</v>
      </c>
      <c r="P64" s="21" t="s">
        <v>113</v>
      </c>
      <c r="Q64" s="21"/>
      <c r="R64" s="26"/>
      <c r="S64" s="26"/>
      <c r="T64" s="26"/>
      <c r="U64" s="26"/>
      <c r="V64" s="26"/>
      <c r="W64" s="27" t="n">
        <v>1</v>
      </c>
      <c r="X64" s="27" t="n">
        <v>1</v>
      </c>
      <c r="Y64" s="27" t="n">
        <v>1</v>
      </c>
      <c r="Z64" s="27" t="n">
        <v>1</v>
      </c>
      <c r="AA64" s="26"/>
      <c r="AB64" s="26"/>
      <c r="AC64" s="26"/>
      <c r="AD64" s="26"/>
      <c r="AE64" s="26"/>
      <c r="AF64" s="26"/>
      <c r="AG64" s="26"/>
      <c r="AH64" s="26"/>
      <c r="AI64" s="26"/>
      <c r="AJ64" s="22" t="n">
        <f aca="false">IF(SUM(R64:T64)&gt;0,1,0)</f>
        <v>0</v>
      </c>
      <c r="AK64" s="22" t="n">
        <f aca="false">IF(SUM(U64:W64)&gt;0,1,0)</f>
        <v>1</v>
      </c>
      <c r="AL64" s="22" t="n">
        <f aca="false">IF(SUM(X64:Z64)&gt;0,1,0)</f>
        <v>1</v>
      </c>
      <c r="AM64" s="22" t="n">
        <f aca="false">IF(SUM(AA64:AC64)&gt;0,1,0)</f>
        <v>0</v>
      </c>
      <c r="AN64" s="22" t="n">
        <f aca="false">IF(SUM(AD64:AF64)&gt;0,1,0)</f>
        <v>0</v>
      </c>
      <c r="AO64" s="22" t="n">
        <f aca="false">IF(SUM(AG64:AI64)&gt;0,1,0)</f>
        <v>0</v>
      </c>
      <c r="AP64" s="28" t="n">
        <f aca="false">IF(AND(AJ64=1,SUM($AJ64:$AO64)=6),$M64/6,IF(AND(AJ64=1,SUM($AJ64:$AO64)=5),$M64/5,IF(AND(AJ64=1,SUM($AJ64:$AO64)=4),$M64/4,IF(AND(AJ64=1,SUM($AJ64:$AO64)=3),$M64/3,IF(AND(AJ64=1,SUM($AJ64:$AO64)=2),$M64/2,IF(AND(AJ64=1,SUM($AJ64:$AO64)=1),$M64,0))))))</f>
        <v>0</v>
      </c>
      <c r="AQ64" s="28" t="n">
        <f aca="false">IF(AND(AK64=1,SUM($AJ64:$AO64)=6),$M64/6,IF(AND(AK64=1,SUM($AJ64:$AO64)=5),$M64/5,IF(AND(AK64=1,SUM($AJ64:$AO64)=4),$M64/4,IF(AND(AK64=1,SUM($AJ64:$AO64)=3),$M64/3,IF(AND(AK64=1,SUM($AJ64:$AO64)=2),$M64/2,IF(AND(AK64=1,SUM($AJ64:$AO64)=1),$M64,0))))))</f>
        <v>515250</v>
      </c>
      <c r="AR64" s="28" t="n">
        <f aca="false">IF(AND(AL64=1,SUM($AJ64:$AO64)=6),$M64/6,IF(AND(AL64=1,SUM($AJ64:$AO64)=5),$M64/5,IF(AND(AL64=1,SUM($AJ64:$AO64)=4),$M64/4,IF(AND(AL64=1,SUM($AJ64:$AO64)=3),$M64/3,IF(AND(AL64=1,SUM($AJ64:$AO64)=2),$M64/2,IF(AND(AL64=1,SUM($AJ64:$AO64)=1),$M64,0))))))</f>
        <v>515250</v>
      </c>
      <c r="AS64" s="28" t="n">
        <f aca="false">IF(AND(AM64=1,SUM($AJ64:$AO64)=6),$M64/6,IF(AND(AM64=1,SUM($AJ64:$AO64)=5),$M64/5,IF(AND(AM64=1,SUM($AJ64:$AO64)=4),$M64/4,IF(AND(AM64=1,SUM($AJ64:$AO64)=3),$M64/3,IF(AND(AM64=1,SUM($AJ64:$AO64)=2),$M64/2,IF(AND(AM64=1,SUM($AJ64:$AO64)=1),$M64,0))))))</f>
        <v>0</v>
      </c>
      <c r="AT64" s="28" t="n">
        <f aca="false">IF(AND(AN64=1,SUM($AJ64:$AO64)=6),$M64/6,IF(AND(AN64=1,SUM($AJ64:$AO64)=5),$M64/5,IF(AND(AN64=1,SUM($AJ64:$AO64)=4),$M64/4,IF(AND(AN64=1,SUM($AJ64:$AO64)=3),$M64/3,IF(AND(AN64=1,SUM($AJ64:$AO64)=2),$M64/2,IF(AND(AN64=1,SUM($AJ64:$AO64)=1),$M64,0))))))</f>
        <v>0</v>
      </c>
      <c r="AU64" s="28" t="n">
        <f aca="false">IF(AND(AO64=1,SUM($AJ64:$AO64)=6),$M64/6,IF(AND(AO64=1,SUM($AJ64:$AO64)=5),$M64/5,IF(AND(AO64=1,SUM($AJ64:$AO64)=4),$M64/4,IF(AND(AO64=1,SUM($AJ64:$AO64)=3),$M64/3,IF(AND(AO64=1,SUM($AJ64:$AO64)=2),$M64/2,IF(AND(AO64=1,SUM($AJ64:$AO64)=1),$M64,0))))))</f>
        <v>0</v>
      </c>
      <c r="AV64" s="29" t="s">
        <v>114</v>
      </c>
      <c r="AW64" s="29" t="s">
        <v>182</v>
      </c>
      <c r="AX64" s="29" t="s">
        <v>114</v>
      </c>
      <c r="AY64" s="30"/>
      <c r="AZ64" s="29" t="s">
        <v>117</v>
      </c>
      <c r="BA64" s="30" t="s">
        <v>442</v>
      </c>
      <c r="BB64" s="29" t="s">
        <v>114</v>
      </c>
      <c r="BC64" s="30"/>
      <c r="BD64" s="26" t="s">
        <v>116</v>
      </c>
      <c r="BE64" s="29" t="s">
        <v>443</v>
      </c>
      <c r="BF64" s="29" t="s">
        <v>114</v>
      </c>
      <c r="BG64" s="30" t="s">
        <v>119</v>
      </c>
    </row>
    <row r="65" customFormat="false" ht="102.95" hidden="false" customHeight="false" outlineLevel="0" collapsed="false">
      <c r="A65" s="20" t="n">
        <v>63</v>
      </c>
      <c r="B65" s="20" t="s">
        <v>17</v>
      </c>
      <c r="C65" s="20" t="s">
        <v>293</v>
      </c>
      <c r="D65" s="20" t="s">
        <v>444</v>
      </c>
      <c r="E65" s="20" t="s">
        <v>46</v>
      </c>
      <c r="F65" s="21" t="s">
        <v>4</v>
      </c>
      <c r="G65" s="21" t="s">
        <v>148</v>
      </c>
      <c r="H65" s="21" t="s">
        <v>445</v>
      </c>
      <c r="I65" s="22" t="s">
        <v>150</v>
      </c>
      <c r="J65" s="22" t="s">
        <v>20</v>
      </c>
      <c r="K65" s="23" t="s">
        <v>130</v>
      </c>
      <c r="L65" s="24" t="n">
        <f aca="false">M65*3600</f>
        <v>3711600000</v>
      </c>
      <c r="M65" s="25" t="n">
        <v>1031000</v>
      </c>
      <c r="N65" s="21" t="s">
        <v>446</v>
      </c>
      <c r="O65" s="21" t="s">
        <v>447</v>
      </c>
      <c r="P65" s="21" t="s">
        <v>133</v>
      </c>
      <c r="Q65" s="21" t="s">
        <v>153</v>
      </c>
      <c r="R65" s="26"/>
      <c r="S65" s="26"/>
      <c r="T65" s="26"/>
      <c r="U65" s="26"/>
      <c r="V65" s="26"/>
      <c r="W65" s="26"/>
      <c r="X65" s="26"/>
      <c r="Y65" s="26"/>
      <c r="Z65" s="26"/>
      <c r="AA65" s="26"/>
      <c r="AB65" s="26"/>
      <c r="AC65" s="26"/>
      <c r="AD65" s="27" t="n">
        <v>1</v>
      </c>
      <c r="AE65" s="27" t="n">
        <v>1</v>
      </c>
      <c r="AF65" s="27" t="n">
        <v>1</v>
      </c>
      <c r="AG65" s="26"/>
      <c r="AH65" s="26"/>
      <c r="AI65" s="26"/>
      <c r="AJ65" s="22" t="n">
        <f aca="false">IF(SUM(R65:T65)&gt;0,1,0)</f>
        <v>0</v>
      </c>
      <c r="AK65" s="22" t="n">
        <f aca="false">IF(SUM(U65:W65)&gt;0,1,0)</f>
        <v>0</v>
      </c>
      <c r="AL65" s="22" t="n">
        <f aca="false">IF(SUM(X65:Z65)&gt;0,1,0)</f>
        <v>0</v>
      </c>
      <c r="AM65" s="22" t="n">
        <f aca="false">IF(SUM(AA65:AC65)&gt;0,1,0)</f>
        <v>0</v>
      </c>
      <c r="AN65" s="22" t="n">
        <f aca="false">IF(SUM(AD65:AF65)&gt;0,1,0)</f>
        <v>1</v>
      </c>
      <c r="AO65" s="22" t="n">
        <f aca="false">IF(SUM(AG65:AI65)&gt;0,1,0)</f>
        <v>0</v>
      </c>
      <c r="AP65" s="28" t="n">
        <f aca="false">IF(AND(AJ65=1,SUM($AJ65:$AO65)=6),$M65/6,IF(AND(AJ65=1,SUM($AJ65:$AO65)=5),$M65/5,IF(AND(AJ65=1,SUM($AJ65:$AO65)=4),$M65/4,IF(AND(AJ65=1,SUM($AJ65:$AO65)=3),$M65/3,IF(AND(AJ65=1,SUM($AJ65:$AO65)=2),$M65/2,IF(AND(AJ65=1,SUM($AJ65:$AO65)=1),$M65,0))))))</f>
        <v>0</v>
      </c>
      <c r="AQ65" s="28" t="n">
        <f aca="false">IF(AND(AK65=1,SUM($AJ65:$AO65)=6),$M65/6,IF(AND(AK65=1,SUM($AJ65:$AO65)=5),$M65/5,IF(AND(AK65=1,SUM($AJ65:$AO65)=4),$M65/4,IF(AND(AK65=1,SUM($AJ65:$AO65)=3),$M65/3,IF(AND(AK65=1,SUM($AJ65:$AO65)=2),$M65/2,IF(AND(AK65=1,SUM($AJ65:$AO65)=1),$M65,0))))))</f>
        <v>0</v>
      </c>
      <c r="AR65" s="28" t="n">
        <f aca="false">IF(AND(AL65=1,SUM($AJ65:$AO65)=6),$M65/6,IF(AND(AL65=1,SUM($AJ65:$AO65)=5),$M65/5,IF(AND(AL65=1,SUM($AJ65:$AO65)=4),$M65/4,IF(AND(AL65=1,SUM($AJ65:$AO65)=3),$M65/3,IF(AND(AL65=1,SUM($AJ65:$AO65)=2),$M65/2,IF(AND(AL65=1,SUM($AJ65:$AO65)=1),$M65,0))))))</f>
        <v>0</v>
      </c>
      <c r="AS65" s="28" t="n">
        <f aca="false">IF(AND(AM65=1,SUM($AJ65:$AO65)=6),$M65/6,IF(AND(AM65=1,SUM($AJ65:$AO65)=5),$M65/5,IF(AND(AM65=1,SUM($AJ65:$AO65)=4),$M65/4,IF(AND(AM65=1,SUM($AJ65:$AO65)=3),$M65/3,IF(AND(AM65=1,SUM($AJ65:$AO65)=2),$M65/2,IF(AND(AM65=1,SUM($AJ65:$AO65)=1),$M65,0))))))</f>
        <v>0</v>
      </c>
      <c r="AT65" s="28" t="n">
        <f aca="false">IF(AND(AN65=1,SUM($AJ65:$AO65)=6),$M65/6,IF(AND(AN65=1,SUM($AJ65:$AO65)=5),$M65/5,IF(AND(AN65=1,SUM($AJ65:$AO65)=4),$M65/4,IF(AND(AN65=1,SUM($AJ65:$AO65)=3),$M65/3,IF(AND(AN65=1,SUM($AJ65:$AO65)=2),$M65/2,IF(AND(AN65=1,SUM($AJ65:$AO65)=1),$M65,0))))))</f>
        <v>1031000</v>
      </c>
      <c r="AU65" s="28" t="n">
        <f aca="false">IF(AND(AO65=1,SUM($AJ65:$AO65)=6),$M65/6,IF(AND(AO65=1,SUM($AJ65:$AO65)=5),$M65/5,IF(AND(AO65=1,SUM($AJ65:$AO65)=4),$M65/4,IF(AND(AO65=1,SUM($AJ65:$AO65)=3),$M65/3,IF(AND(AO65=1,SUM($AJ65:$AO65)=2),$M65/2,IF(AND(AO65=1,SUM($AJ65:$AO65)=1),$M65,0))))))</f>
        <v>0</v>
      </c>
      <c r="AV65" s="29" t="s">
        <v>114</v>
      </c>
      <c r="AW65" s="29" t="s">
        <v>186</v>
      </c>
      <c r="AX65" s="29" t="s">
        <v>116</v>
      </c>
      <c r="AY65" s="30"/>
      <c r="AZ65" s="29" t="s">
        <v>117</v>
      </c>
      <c r="BA65" s="30" t="s">
        <v>448</v>
      </c>
      <c r="BB65" s="29" t="s">
        <v>114</v>
      </c>
      <c r="BC65" s="30"/>
      <c r="BD65" s="29" t="s">
        <v>117</v>
      </c>
      <c r="BE65" s="29" t="s">
        <v>449</v>
      </c>
      <c r="BF65" s="29" t="s">
        <v>114</v>
      </c>
      <c r="BG65" s="30" t="s">
        <v>119</v>
      </c>
    </row>
    <row r="66" customFormat="false" ht="52.2" hidden="false" customHeight="false" outlineLevel="0" collapsed="false">
      <c r="A66" s="20" t="n">
        <v>64</v>
      </c>
      <c r="B66" s="20" t="s">
        <v>17</v>
      </c>
      <c r="C66" s="20" t="s">
        <v>231</v>
      </c>
      <c r="D66" s="20" t="s">
        <v>450</v>
      </c>
      <c r="E66" s="20" t="s">
        <v>46</v>
      </c>
      <c r="F66" s="21" t="s">
        <v>4</v>
      </c>
      <c r="G66" s="21" t="s">
        <v>109</v>
      </c>
      <c r="H66" s="21" t="s">
        <v>451</v>
      </c>
      <c r="I66" s="22" t="s">
        <v>111</v>
      </c>
      <c r="J66" s="22" t="s">
        <v>22</v>
      </c>
      <c r="K66" s="23" t="s">
        <v>16</v>
      </c>
      <c r="L66" s="24" t="n">
        <f aca="false">M66*3600</f>
        <v>3713400000</v>
      </c>
      <c r="M66" s="25" t="n">
        <v>1031500</v>
      </c>
      <c r="N66" s="21" t="s">
        <v>452</v>
      </c>
      <c r="O66" s="21" t="s">
        <v>453</v>
      </c>
      <c r="P66" s="21" t="s">
        <v>454</v>
      </c>
      <c r="Q66" s="21" t="s">
        <v>160</v>
      </c>
      <c r="R66" s="26"/>
      <c r="S66" s="26"/>
      <c r="T66" s="26"/>
      <c r="U66" s="26"/>
      <c r="V66" s="27" t="n">
        <v>1</v>
      </c>
      <c r="W66" s="27" t="n">
        <v>1</v>
      </c>
      <c r="X66" s="27" t="n">
        <v>1</v>
      </c>
      <c r="Y66" s="27" t="n">
        <v>1</v>
      </c>
      <c r="Z66" s="27" t="n">
        <v>1</v>
      </c>
      <c r="AA66" s="27" t="n">
        <v>1</v>
      </c>
      <c r="AB66" s="27" t="n">
        <v>1</v>
      </c>
      <c r="AC66" s="27" t="n">
        <v>1</v>
      </c>
      <c r="AD66" s="26"/>
      <c r="AE66" s="26"/>
      <c r="AF66" s="26"/>
      <c r="AG66" s="26"/>
      <c r="AH66" s="26"/>
      <c r="AI66" s="26"/>
      <c r="AJ66" s="22" t="n">
        <f aca="false">IF(SUM(R66:T66)&gt;0,1,0)</f>
        <v>0</v>
      </c>
      <c r="AK66" s="22" t="n">
        <f aca="false">IF(SUM(U66:W66)&gt;0,1,0)</f>
        <v>1</v>
      </c>
      <c r="AL66" s="22" t="n">
        <f aca="false">IF(SUM(X66:Z66)&gt;0,1,0)</f>
        <v>1</v>
      </c>
      <c r="AM66" s="22" t="n">
        <f aca="false">IF(SUM(AA66:AC66)&gt;0,1,0)</f>
        <v>1</v>
      </c>
      <c r="AN66" s="22" t="n">
        <f aca="false">IF(SUM(AD66:AF66)&gt;0,1,0)</f>
        <v>0</v>
      </c>
      <c r="AO66" s="22" t="n">
        <f aca="false">IF(SUM(AG66:AI66)&gt;0,1,0)</f>
        <v>0</v>
      </c>
      <c r="AP66" s="28" t="n">
        <f aca="false">IF(AND(AJ66=1,SUM($AJ66:$AO66)=6),$M66/6,IF(AND(AJ66=1,SUM($AJ66:$AO66)=5),$M66/5,IF(AND(AJ66=1,SUM($AJ66:$AO66)=4),$M66/4,IF(AND(AJ66=1,SUM($AJ66:$AO66)=3),$M66/3,IF(AND(AJ66=1,SUM($AJ66:$AO66)=2),$M66/2,IF(AND(AJ66=1,SUM($AJ66:$AO66)=1),$M66,0))))))</f>
        <v>0</v>
      </c>
      <c r="AQ66" s="28" t="n">
        <f aca="false">IF(AND(AK66=1,SUM($AJ66:$AO66)=6),$M66/6,IF(AND(AK66=1,SUM($AJ66:$AO66)=5),$M66/5,IF(AND(AK66=1,SUM($AJ66:$AO66)=4),$M66/4,IF(AND(AK66=1,SUM($AJ66:$AO66)=3),$M66/3,IF(AND(AK66=1,SUM($AJ66:$AO66)=2),$M66/2,IF(AND(AK66=1,SUM($AJ66:$AO66)=1),$M66,0))))))</f>
        <v>343833.333333333</v>
      </c>
      <c r="AR66" s="28" t="n">
        <f aca="false">IF(AND(AL66=1,SUM($AJ66:$AO66)=6),$M66/6,IF(AND(AL66=1,SUM($AJ66:$AO66)=5),$M66/5,IF(AND(AL66=1,SUM($AJ66:$AO66)=4),$M66/4,IF(AND(AL66=1,SUM($AJ66:$AO66)=3),$M66/3,IF(AND(AL66=1,SUM($AJ66:$AO66)=2),$M66/2,IF(AND(AL66=1,SUM($AJ66:$AO66)=1),$M66,0))))))</f>
        <v>343833.333333333</v>
      </c>
      <c r="AS66" s="28" t="n">
        <f aca="false">IF(AND(AM66=1,SUM($AJ66:$AO66)=6),$M66/6,IF(AND(AM66=1,SUM($AJ66:$AO66)=5),$M66/5,IF(AND(AM66=1,SUM($AJ66:$AO66)=4),$M66/4,IF(AND(AM66=1,SUM($AJ66:$AO66)=3),$M66/3,IF(AND(AM66=1,SUM($AJ66:$AO66)=2),$M66/2,IF(AND(AM66=1,SUM($AJ66:$AO66)=1),$M66,0))))))</f>
        <v>343833.333333333</v>
      </c>
      <c r="AT66" s="28" t="n">
        <f aca="false">IF(AND(AN66=1,SUM($AJ66:$AO66)=6),$M66/6,IF(AND(AN66=1,SUM($AJ66:$AO66)=5),$M66/5,IF(AND(AN66=1,SUM($AJ66:$AO66)=4),$M66/4,IF(AND(AN66=1,SUM($AJ66:$AO66)=3),$M66/3,IF(AND(AN66=1,SUM($AJ66:$AO66)=2),$M66/2,IF(AND(AN66=1,SUM($AJ66:$AO66)=1),$M66,0))))))</f>
        <v>0</v>
      </c>
      <c r="AU66" s="28" t="n">
        <f aca="false">IF(AND(AO66=1,SUM($AJ66:$AO66)=6),$M66/6,IF(AND(AO66=1,SUM($AJ66:$AO66)=5),$M66/5,IF(AND(AO66=1,SUM($AJ66:$AO66)=4),$M66/4,IF(AND(AO66=1,SUM($AJ66:$AO66)=3),$M66/3,IF(AND(AO66=1,SUM($AJ66:$AO66)=2),$M66/2,IF(AND(AO66=1,SUM($AJ66:$AO66)=1),$M66,0))))))</f>
        <v>0</v>
      </c>
      <c r="AV66" s="29" t="s">
        <v>114</v>
      </c>
      <c r="AW66" s="29" t="s">
        <v>193</v>
      </c>
      <c r="AX66" s="29" t="s">
        <v>116</v>
      </c>
      <c r="AY66" s="30"/>
      <c r="AZ66" s="29" t="s">
        <v>116</v>
      </c>
      <c r="BA66" s="30" t="s">
        <v>455</v>
      </c>
      <c r="BB66" s="29" t="s">
        <v>114</v>
      </c>
      <c r="BC66" s="30"/>
      <c r="BD66" s="29" t="s">
        <v>114</v>
      </c>
      <c r="BE66" s="29" t="s">
        <v>456</v>
      </c>
      <c r="BF66" s="29" t="s">
        <v>114</v>
      </c>
      <c r="BG66" s="30" t="s">
        <v>119</v>
      </c>
    </row>
    <row r="67" customFormat="false" ht="39.55" hidden="false" customHeight="false" outlineLevel="0" collapsed="false">
      <c r="A67" s="20" t="n">
        <v>65</v>
      </c>
      <c r="B67" s="20" t="s">
        <v>17</v>
      </c>
      <c r="C67" s="20" t="s">
        <v>414</v>
      </c>
      <c r="D67" s="32" t="s">
        <v>457</v>
      </c>
      <c r="E67" s="32" t="s">
        <v>45</v>
      </c>
      <c r="F67" s="21" t="s">
        <v>4</v>
      </c>
      <c r="G67" s="21" t="s">
        <v>109</v>
      </c>
      <c r="H67" s="21" t="s">
        <v>233</v>
      </c>
      <c r="I67" s="22" t="s">
        <v>111</v>
      </c>
      <c r="J67" s="22" t="s">
        <v>397</v>
      </c>
      <c r="K67" s="23" t="s">
        <v>122</v>
      </c>
      <c r="L67" s="24" t="n">
        <f aca="false">M67*3600</f>
        <v>3715200000</v>
      </c>
      <c r="M67" s="25" t="n">
        <v>1032000</v>
      </c>
      <c r="N67" s="21" t="s">
        <v>458</v>
      </c>
      <c r="O67" s="21" t="s">
        <v>459</v>
      </c>
      <c r="P67" s="21" t="s">
        <v>124</v>
      </c>
      <c r="Q67" s="21"/>
      <c r="R67" s="26"/>
      <c r="S67" s="26"/>
      <c r="T67" s="26"/>
      <c r="U67" s="27" t="n">
        <v>1</v>
      </c>
      <c r="V67" s="26"/>
      <c r="W67" s="26"/>
      <c r="X67" s="26"/>
      <c r="Y67" s="26"/>
      <c r="Z67" s="26"/>
      <c r="AA67" s="27" t="n">
        <v>1</v>
      </c>
      <c r="AB67" s="26"/>
      <c r="AC67" s="26"/>
      <c r="AD67" s="26"/>
      <c r="AE67" s="26"/>
      <c r="AF67" s="26"/>
      <c r="AG67" s="26"/>
      <c r="AH67" s="26"/>
      <c r="AI67" s="26"/>
      <c r="AJ67" s="22" t="n">
        <f aca="false">IF(SUM(R67:T67)&gt;0,1,0)</f>
        <v>0</v>
      </c>
      <c r="AK67" s="22" t="n">
        <f aca="false">IF(SUM(U67:W67)&gt;0,1,0)</f>
        <v>1</v>
      </c>
      <c r="AL67" s="22" t="n">
        <f aca="false">IF(SUM(X67:Z67)&gt;0,1,0)</f>
        <v>0</v>
      </c>
      <c r="AM67" s="22" t="n">
        <f aca="false">IF(SUM(AA67:AC67)&gt;0,1,0)</f>
        <v>1</v>
      </c>
      <c r="AN67" s="22" t="n">
        <f aca="false">IF(SUM(AD67:AF67)&gt;0,1,0)</f>
        <v>0</v>
      </c>
      <c r="AO67" s="22" t="n">
        <f aca="false">IF(SUM(AG67:AI67)&gt;0,1,0)</f>
        <v>0</v>
      </c>
      <c r="AP67" s="28" t="n">
        <f aca="false">IF(AND(AJ67=1,SUM($AJ67:$AO67)=6),$M67/6,IF(AND(AJ67=1,SUM($AJ67:$AO67)=5),$M67/5,IF(AND(AJ67=1,SUM($AJ67:$AO67)=4),$M67/4,IF(AND(AJ67=1,SUM($AJ67:$AO67)=3),$M67/3,IF(AND(AJ67=1,SUM($AJ67:$AO67)=2),$M67/2,IF(AND(AJ67=1,SUM($AJ67:$AO67)=1),$M67,0))))))</f>
        <v>0</v>
      </c>
      <c r="AQ67" s="28" t="n">
        <f aca="false">IF(AND(AK67=1,SUM($AJ67:$AO67)=6),$M67/6,IF(AND(AK67=1,SUM($AJ67:$AO67)=5),$M67/5,IF(AND(AK67=1,SUM($AJ67:$AO67)=4),$M67/4,IF(AND(AK67=1,SUM($AJ67:$AO67)=3),$M67/3,IF(AND(AK67=1,SUM($AJ67:$AO67)=2),$M67/2,IF(AND(AK67=1,SUM($AJ67:$AO67)=1),$M67,0))))))</f>
        <v>516000</v>
      </c>
      <c r="AR67" s="28" t="n">
        <f aca="false">IF(AND(AL67=1,SUM($AJ67:$AO67)=6),$M67/6,IF(AND(AL67=1,SUM($AJ67:$AO67)=5),$M67/5,IF(AND(AL67=1,SUM($AJ67:$AO67)=4),$M67/4,IF(AND(AL67=1,SUM($AJ67:$AO67)=3),$M67/3,IF(AND(AL67=1,SUM($AJ67:$AO67)=2),$M67/2,IF(AND(AL67=1,SUM($AJ67:$AO67)=1),$M67,0))))))</f>
        <v>0</v>
      </c>
      <c r="AS67" s="28" t="n">
        <f aca="false">IF(AND(AM67=1,SUM($AJ67:$AO67)=6),$M67/6,IF(AND(AM67=1,SUM($AJ67:$AO67)=5),$M67/5,IF(AND(AM67=1,SUM($AJ67:$AO67)=4),$M67/4,IF(AND(AM67=1,SUM($AJ67:$AO67)=3),$M67/3,IF(AND(AM67=1,SUM($AJ67:$AO67)=2),$M67/2,IF(AND(AM67=1,SUM($AJ67:$AO67)=1),$M67,0))))))</f>
        <v>516000</v>
      </c>
      <c r="AT67" s="28" t="n">
        <f aca="false">IF(AND(AN67=1,SUM($AJ67:$AO67)=6),$M67/6,IF(AND(AN67=1,SUM($AJ67:$AO67)=5),$M67/5,IF(AND(AN67=1,SUM($AJ67:$AO67)=4),$M67/4,IF(AND(AN67=1,SUM($AJ67:$AO67)=3),$M67/3,IF(AND(AN67=1,SUM($AJ67:$AO67)=2),$M67/2,IF(AND(AN67=1,SUM($AJ67:$AO67)=1),$M67,0))))))</f>
        <v>0</v>
      </c>
      <c r="AU67" s="28" t="n">
        <f aca="false">IF(AND(AO67=1,SUM($AJ67:$AO67)=6),$M67/6,IF(AND(AO67=1,SUM($AJ67:$AO67)=5),$M67/5,IF(AND(AO67=1,SUM($AJ67:$AO67)=4),$M67/4,IF(AND(AO67=1,SUM($AJ67:$AO67)=3),$M67/3,IF(AND(AO67=1,SUM($AJ67:$AO67)=2),$M67/2,IF(AND(AO67=1,SUM($AJ67:$AO67)=1),$M67,0))))))</f>
        <v>0</v>
      </c>
      <c r="AV67" s="29" t="s">
        <v>114</v>
      </c>
      <c r="AW67" s="29" t="s">
        <v>200</v>
      </c>
      <c r="AX67" s="29" t="s">
        <v>116</v>
      </c>
      <c r="AY67" s="30"/>
      <c r="AZ67" s="29" t="s">
        <v>116</v>
      </c>
      <c r="BA67" s="30" t="s">
        <v>460</v>
      </c>
      <c r="BB67" s="29" t="s">
        <v>117</v>
      </c>
      <c r="BC67" s="30"/>
      <c r="BD67" s="29" t="s">
        <v>114</v>
      </c>
      <c r="BE67" s="30"/>
      <c r="BF67" s="29" t="s">
        <v>114</v>
      </c>
      <c r="BG67" s="30" t="s">
        <v>119</v>
      </c>
    </row>
    <row r="68" customFormat="false" ht="39.55" hidden="false" customHeight="false" outlineLevel="0" collapsed="false">
      <c r="A68" s="20" t="n">
        <v>66</v>
      </c>
      <c r="B68" s="20" t="s">
        <v>17</v>
      </c>
      <c r="C68" s="20" t="s">
        <v>107</v>
      </c>
      <c r="D68" s="32" t="s">
        <v>461</v>
      </c>
      <c r="E68" s="32" t="s">
        <v>46</v>
      </c>
      <c r="F68" s="21" t="s">
        <v>4</v>
      </c>
      <c r="G68" s="21" t="s">
        <v>109</v>
      </c>
      <c r="H68" s="21" t="s">
        <v>110</v>
      </c>
      <c r="I68" s="22" t="s">
        <v>111</v>
      </c>
      <c r="J68" s="22" t="s">
        <v>397</v>
      </c>
      <c r="K68" s="23" t="s">
        <v>130</v>
      </c>
      <c r="L68" s="24" t="n">
        <f aca="false">M68*3600</f>
        <v>3717000000</v>
      </c>
      <c r="M68" s="25" t="n">
        <v>1032500</v>
      </c>
      <c r="N68" s="21"/>
      <c r="O68" s="21" t="s">
        <v>462</v>
      </c>
      <c r="P68" s="21" t="s">
        <v>124</v>
      </c>
      <c r="Q68" s="21"/>
      <c r="R68" s="26"/>
      <c r="S68" s="26"/>
      <c r="T68" s="26"/>
      <c r="U68" s="27" t="n">
        <v>1</v>
      </c>
      <c r="V68" s="26"/>
      <c r="W68" s="26"/>
      <c r="X68" s="26"/>
      <c r="Y68" s="26"/>
      <c r="Z68" s="26"/>
      <c r="AA68" s="26"/>
      <c r="AB68" s="26"/>
      <c r="AC68" s="26"/>
      <c r="AD68" s="26"/>
      <c r="AE68" s="26"/>
      <c r="AF68" s="26"/>
      <c r="AG68" s="26"/>
      <c r="AH68" s="26"/>
      <c r="AI68" s="26"/>
      <c r="AJ68" s="22" t="n">
        <f aca="false">IF(SUM(R68:T68)&gt;0,1,0)</f>
        <v>0</v>
      </c>
      <c r="AK68" s="22" t="n">
        <f aca="false">IF(SUM(U68:W68)&gt;0,1,0)</f>
        <v>1</v>
      </c>
      <c r="AL68" s="22" t="n">
        <f aca="false">IF(SUM(X68:Z68)&gt;0,1,0)</f>
        <v>0</v>
      </c>
      <c r="AM68" s="22" t="n">
        <f aca="false">IF(SUM(AA68:AC68)&gt;0,1,0)</f>
        <v>0</v>
      </c>
      <c r="AN68" s="22" t="n">
        <f aca="false">IF(SUM(AD68:AF68)&gt;0,1,0)</f>
        <v>0</v>
      </c>
      <c r="AO68" s="22" t="n">
        <f aca="false">IF(SUM(AG68:AI68)&gt;0,1,0)</f>
        <v>0</v>
      </c>
      <c r="AP68" s="28" t="n">
        <f aca="false">IF(AND(AJ68=1,SUM($AJ68:$AO68)=6),$M68/6,IF(AND(AJ68=1,SUM($AJ68:$AO68)=5),$M68/5,IF(AND(AJ68=1,SUM($AJ68:$AO68)=4),$M68/4,IF(AND(AJ68=1,SUM($AJ68:$AO68)=3),$M68/3,IF(AND(AJ68=1,SUM($AJ68:$AO68)=2),$M68/2,IF(AND(AJ68=1,SUM($AJ68:$AO68)=1),$M68,0))))))</f>
        <v>0</v>
      </c>
      <c r="AQ68" s="28" t="n">
        <f aca="false">IF(AND(AK68=1,SUM($AJ68:$AO68)=6),$M68/6,IF(AND(AK68=1,SUM($AJ68:$AO68)=5),$M68/5,IF(AND(AK68=1,SUM($AJ68:$AO68)=4),$M68/4,IF(AND(AK68=1,SUM($AJ68:$AO68)=3),$M68/3,IF(AND(AK68=1,SUM($AJ68:$AO68)=2),$M68/2,IF(AND(AK68=1,SUM($AJ68:$AO68)=1),$M68,0))))))</f>
        <v>1032500</v>
      </c>
      <c r="AR68" s="28" t="n">
        <f aca="false">IF(AND(AL68=1,SUM($AJ68:$AO68)=6),$M68/6,IF(AND(AL68=1,SUM($AJ68:$AO68)=5),$M68/5,IF(AND(AL68=1,SUM($AJ68:$AO68)=4),$M68/4,IF(AND(AL68=1,SUM($AJ68:$AO68)=3),$M68/3,IF(AND(AL68=1,SUM($AJ68:$AO68)=2),$M68/2,IF(AND(AL68=1,SUM($AJ68:$AO68)=1),$M68,0))))))</f>
        <v>0</v>
      </c>
      <c r="AS68" s="28" t="n">
        <f aca="false">IF(AND(AM68=1,SUM($AJ68:$AO68)=6),$M68/6,IF(AND(AM68=1,SUM($AJ68:$AO68)=5),$M68/5,IF(AND(AM68=1,SUM($AJ68:$AO68)=4),$M68/4,IF(AND(AM68=1,SUM($AJ68:$AO68)=3),$M68/3,IF(AND(AM68=1,SUM($AJ68:$AO68)=2),$M68/2,IF(AND(AM68=1,SUM($AJ68:$AO68)=1),$M68,0))))))</f>
        <v>0</v>
      </c>
      <c r="AT68" s="28" t="n">
        <f aca="false">IF(AND(AN68=1,SUM($AJ68:$AO68)=6),$M68/6,IF(AND(AN68=1,SUM($AJ68:$AO68)=5),$M68/5,IF(AND(AN68=1,SUM($AJ68:$AO68)=4),$M68/4,IF(AND(AN68=1,SUM($AJ68:$AO68)=3),$M68/3,IF(AND(AN68=1,SUM($AJ68:$AO68)=2),$M68/2,IF(AND(AN68=1,SUM($AJ68:$AO68)=1),$M68,0))))))</f>
        <v>0</v>
      </c>
      <c r="AU68" s="28" t="n">
        <f aca="false">IF(AND(AO68=1,SUM($AJ68:$AO68)=6),$M68/6,IF(AND(AO68=1,SUM($AJ68:$AO68)=5),$M68/5,IF(AND(AO68=1,SUM($AJ68:$AO68)=4),$M68/4,IF(AND(AO68=1,SUM($AJ68:$AO68)=3),$M68/3,IF(AND(AO68=1,SUM($AJ68:$AO68)=2),$M68/2,IF(AND(AO68=1,SUM($AJ68:$AO68)=1),$M68,0))))))</f>
        <v>0</v>
      </c>
      <c r="AV68" s="29" t="s">
        <v>114</v>
      </c>
      <c r="AW68" s="29"/>
      <c r="AX68" s="29" t="s">
        <v>116</v>
      </c>
      <c r="AY68" s="30"/>
      <c r="AZ68" s="29" t="s">
        <v>116</v>
      </c>
      <c r="BA68" s="30" t="s">
        <v>463</v>
      </c>
      <c r="BB68" s="29" t="s">
        <v>117</v>
      </c>
      <c r="BC68" s="30"/>
      <c r="BD68" s="29" t="s">
        <v>114</v>
      </c>
      <c r="BE68" s="30"/>
      <c r="BF68" s="29" t="s">
        <v>114</v>
      </c>
      <c r="BG68" s="30" t="s">
        <v>119</v>
      </c>
    </row>
    <row r="69" customFormat="false" ht="77.6" hidden="false" customHeight="false" outlineLevel="0" collapsed="false">
      <c r="A69" s="20" t="n">
        <v>67</v>
      </c>
      <c r="B69" s="20" t="s">
        <v>17</v>
      </c>
      <c r="C69" s="20" t="s">
        <v>107</v>
      </c>
      <c r="D69" s="20" t="s">
        <v>464</v>
      </c>
      <c r="E69" s="20" t="s">
        <v>45</v>
      </c>
      <c r="F69" s="21" t="s">
        <v>4</v>
      </c>
      <c r="G69" s="21" t="s">
        <v>109</v>
      </c>
      <c r="H69" s="21" t="s">
        <v>465</v>
      </c>
      <c r="I69" s="22" t="s">
        <v>111</v>
      </c>
      <c r="J69" s="22" t="s">
        <v>23</v>
      </c>
      <c r="K69" s="23" t="s">
        <v>16</v>
      </c>
      <c r="L69" s="24" t="n">
        <f aca="false">M69*3600</f>
        <v>3718800000</v>
      </c>
      <c r="M69" s="25" t="n">
        <v>1033000</v>
      </c>
      <c r="N69" s="21" t="s">
        <v>466</v>
      </c>
      <c r="O69" s="21" t="s">
        <v>467</v>
      </c>
      <c r="P69" s="21" t="s">
        <v>468</v>
      </c>
      <c r="Q69" s="21" t="s">
        <v>191</v>
      </c>
      <c r="R69" s="26"/>
      <c r="S69" s="26"/>
      <c r="T69" s="26"/>
      <c r="U69" s="27" t="n">
        <v>1</v>
      </c>
      <c r="V69" s="27" t="n">
        <v>1</v>
      </c>
      <c r="W69" s="27" t="n">
        <v>1</v>
      </c>
      <c r="X69" s="27" t="n">
        <v>1</v>
      </c>
      <c r="Y69" s="27" t="n">
        <v>1</v>
      </c>
      <c r="Z69" s="27" t="n">
        <v>1</v>
      </c>
      <c r="AA69" s="27" t="n">
        <v>1</v>
      </c>
      <c r="AB69" s="27" t="n">
        <v>1</v>
      </c>
      <c r="AC69" s="27" t="n">
        <v>1</v>
      </c>
      <c r="AD69" s="26"/>
      <c r="AE69" s="26"/>
      <c r="AF69" s="26"/>
      <c r="AG69" s="26"/>
      <c r="AH69" s="26"/>
      <c r="AI69" s="26"/>
      <c r="AJ69" s="22" t="n">
        <f aca="false">IF(SUM(R69:T69)&gt;0,1,0)</f>
        <v>0</v>
      </c>
      <c r="AK69" s="22" t="n">
        <f aca="false">IF(SUM(U69:W69)&gt;0,1,0)</f>
        <v>1</v>
      </c>
      <c r="AL69" s="22" t="n">
        <f aca="false">IF(SUM(X69:Z69)&gt;0,1,0)</f>
        <v>1</v>
      </c>
      <c r="AM69" s="22" t="n">
        <f aca="false">IF(SUM(AA69:AC69)&gt;0,1,0)</f>
        <v>1</v>
      </c>
      <c r="AN69" s="22" t="n">
        <f aca="false">IF(SUM(AD69:AF69)&gt;0,1,0)</f>
        <v>0</v>
      </c>
      <c r="AO69" s="22" t="n">
        <f aca="false">IF(SUM(AG69:AI69)&gt;0,1,0)</f>
        <v>0</v>
      </c>
      <c r="AP69" s="28" t="n">
        <f aca="false">IF(AND(AJ69=1,SUM($AJ69:$AO69)=6),$M69/6,IF(AND(AJ69=1,SUM($AJ69:$AO69)=5),$M69/5,IF(AND(AJ69=1,SUM($AJ69:$AO69)=4),$M69/4,IF(AND(AJ69=1,SUM($AJ69:$AO69)=3),$M69/3,IF(AND(AJ69=1,SUM($AJ69:$AO69)=2),$M69/2,IF(AND(AJ69=1,SUM($AJ69:$AO69)=1),$M69,0))))))</f>
        <v>0</v>
      </c>
      <c r="AQ69" s="28" t="n">
        <f aca="false">IF(AND(AK69=1,SUM($AJ69:$AO69)=6),$M69/6,IF(AND(AK69=1,SUM($AJ69:$AO69)=5),$M69/5,IF(AND(AK69=1,SUM($AJ69:$AO69)=4),$M69/4,IF(AND(AK69=1,SUM($AJ69:$AO69)=3),$M69/3,IF(AND(AK69=1,SUM($AJ69:$AO69)=2),$M69/2,IF(AND(AK69=1,SUM($AJ69:$AO69)=1),$M69,0))))))</f>
        <v>344333.333333333</v>
      </c>
      <c r="AR69" s="28" t="n">
        <f aca="false">IF(AND(AL69=1,SUM($AJ69:$AO69)=6),$M69/6,IF(AND(AL69=1,SUM($AJ69:$AO69)=5),$M69/5,IF(AND(AL69=1,SUM($AJ69:$AO69)=4),$M69/4,IF(AND(AL69=1,SUM($AJ69:$AO69)=3),$M69/3,IF(AND(AL69=1,SUM($AJ69:$AO69)=2),$M69/2,IF(AND(AL69=1,SUM($AJ69:$AO69)=1),$M69,0))))))</f>
        <v>344333.333333333</v>
      </c>
      <c r="AS69" s="28" t="n">
        <f aca="false">IF(AND(AM69=1,SUM($AJ69:$AO69)=6),$M69/6,IF(AND(AM69=1,SUM($AJ69:$AO69)=5),$M69/5,IF(AND(AM69=1,SUM($AJ69:$AO69)=4),$M69/4,IF(AND(AM69=1,SUM($AJ69:$AO69)=3),$M69/3,IF(AND(AM69=1,SUM($AJ69:$AO69)=2),$M69/2,IF(AND(AM69=1,SUM($AJ69:$AO69)=1),$M69,0))))))</f>
        <v>344333.333333333</v>
      </c>
      <c r="AT69" s="28" t="n">
        <f aca="false">IF(AND(AN69=1,SUM($AJ69:$AO69)=6),$M69/6,IF(AND(AN69=1,SUM($AJ69:$AO69)=5),$M69/5,IF(AND(AN69=1,SUM($AJ69:$AO69)=4),$M69/4,IF(AND(AN69=1,SUM($AJ69:$AO69)=3),$M69/3,IF(AND(AN69=1,SUM($AJ69:$AO69)=2),$M69/2,IF(AND(AN69=1,SUM($AJ69:$AO69)=1),$M69,0))))))</f>
        <v>0</v>
      </c>
      <c r="AU69" s="28" t="n">
        <f aca="false">IF(AND(AO69=1,SUM($AJ69:$AO69)=6),$M69/6,IF(AND(AO69=1,SUM($AJ69:$AO69)=5),$M69/5,IF(AND(AO69=1,SUM($AJ69:$AO69)=4),$M69/4,IF(AND(AO69=1,SUM($AJ69:$AO69)=3),$M69/3,IF(AND(AO69=1,SUM($AJ69:$AO69)=2),$M69/2,IF(AND(AO69=1,SUM($AJ69:$AO69)=1),$M69,0))))))</f>
        <v>0</v>
      </c>
      <c r="AV69" s="29" t="s">
        <v>114</v>
      </c>
      <c r="AW69" s="30"/>
      <c r="AX69" s="29" t="s">
        <v>116</v>
      </c>
      <c r="AY69" s="30"/>
      <c r="AZ69" s="29" t="s">
        <v>117</v>
      </c>
      <c r="BA69" s="30" t="s">
        <v>469</v>
      </c>
      <c r="BB69" s="29" t="s">
        <v>117</v>
      </c>
      <c r="BC69" s="30"/>
      <c r="BD69" s="26" t="s">
        <v>116</v>
      </c>
      <c r="BE69" s="30"/>
      <c r="BF69" s="29" t="s">
        <v>114</v>
      </c>
      <c r="BG69" s="30" t="s">
        <v>119</v>
      </c>
    </row>
    <row r="70" customFormat="false" ht="102.95" hidden="false" customHeight="false" outlineLevel="0" collapsed="false">
      <c r="A70" s="20" t="n">
        <v>68</v>
      </c>
      <c r="B70" s="20" t="s">
        <v>17</v>
      </c>
      <c r="C70" s="20" t="s">
        <v>107</v>
      </c>
      <c r="D70" s="20" t="s">
        <v>470</v>
      </c>
      <c r="E70" s="20" t="s">
        <v>46</v>
      </c>
      <c r="F70" s="21" t="s">
        <v>4</v>
      </c>
      <c r="G70" s="21" t="s">
        <v>109</v>
      </c>
      <c r="H70" s="21"/>
      <c r="I70" s="22" t="s">
        <v>111</v>
      </c>
      <c r="J70" s="22" t="s">
        <v>23</v>
      </c>
      <c r="K70" s="23" t="s">
        <v>122</v>
      </c>
      <c r="L70" s="24" t="n">
        <f aca="false">M70*3600</f>
        <v>3720600000</v>
      </c>
      <c r="M70" s="25" t="n">
        <v>1033500</v>
      </c>
      <c r="N70" s="21" t="s">
        <v>471</v>
      </c>
      <c r="O70" s="21" t="s">
        <v>453</v>
      </c>
      <c r="P70" s="21" t="s">
        <v>472</v>
      </c>
      <c r="Q70" s="21" t="s">
        <v>191</v>
      </c>
      <c r="R70" s="26"/>
      <c r="S70" s="26"/>
      <c r="T70" s="26"/>
      <c r="U70" s="26"/>
      <c r="V70" s="27" t="n">
        <v>1</v>
      </c>
      <c r="W70" s="27" t="n">
        <v>1</v>
      </c>
      <c r="X70" s="27" t="n">
        <v>1</v>
      </c>
      <c r="Y70" s="27" t="n">
        <v>1</v>
      </c>
      <c r="Z70" s="27" t="n">
        <v>1</v>
      </c>
      <c r="AA70" s="27" t="n">
        <v>1</v>
      </c>
      <c r="AB70" s="27" t="n">
        <v>1</v>
      </c>
      <c r="AC70" s="27" t="n">
        <v>1</v>
      </c>
      <c r="AD70" s="26"/>
      <c r="AE70" s="26"/>
      <c r="AF70" s="26"/>
      <c r="AG70" s="26"/>
      <c r="AH70" s="26"/>
      <c r="AI70" s="26"/>
      <c r="AJ70" s="22" t="n">
        <f aca="false">IF(SUM(R70:T70)&gt;0,1,0)</f>
        <v>0</v>
      </c>
      <c r="AK70" s="22" t="n">
        <f aca="false">IF(SUM(U70:W70)&gt;0,1,0)</f>
        <v>1</v>
      </c>
      <c r="AL70" s="22" t="n">
        <f aca="false">IF(SUM(X70:Z70)&gt;0,1,0)</f>
        <v>1</v>
      </c>
      <c r="AM70" s="22" t="n">
        <f aca="false">IF(SUM(AA70:AC70)&gt;0,1,0)</f>
        <v>1</v>
      </c>
      <c r="AN70" s="22" t="n">
        <f aca="false">IF(SUM(AD70:AF70)&gt;0,1,0)</f>
        <v>0</v>
      </c>
      <c r="AO70" s="22" t="n">
        <f aca="false">IF(SUM(AG70:AI70)&gt;0,1,0)</f>
        <v>0</v>
      </c>
      <c r="AP70" s="28" t="n">
        <f aca="false">IF(AND(AJ70=1,SUM($AJ70:$AO70)=6),$M70/6,IF(AND(AJ70=1,SUM($AJ70:$AO70)=5),$M70/5,IF(AND(AJ70=1,SUM($AJ70:$AO70)=4),$M70/4,IF(AND(AJ70=1,SUM($AJ70:$AO70)=3),$M70/3,IF(AND(AJ70=1,SUM($AJ70:$AO70)=2),$M70/2,IF(AND(AJ70=1,SUM($AJ70:$AO70)=1),$M70,0))))))</f>
        <v>0</v>
      </c>
      <c r="AQ70" s="28" t="n">
        <f aca="false">IF(AND(AK70=1,SUM($AJ70:$AO70)=6),$M70/6,IF(AND(AK70=1,SUM($AJ70:$AO70)=5),$M70/5,IF(AND(AK70=1,SUM($AJ70:$AO70)=4),$M70/4,IF(AND(AK70=1,SUM($AJ70:$AO70)=3),$M70/3,IF(AND(AK70=1,SUM($AJ70:$AO70)=2),$M70/2,IF(AND(AK70=1,SUM($AJ70:$AO70)=1),$M70,0))))))</f>
        <v>344500</v>
      </c>
      <c r="AR70" s="28" t="n">
        <f aca="false">IF(AND(AL70=1,SUM($AJ70:$AO70)=6),$M70/6,IF(AND(AL70=1,SUM($AJ70:$AO70)=5),$M70/5,IF(AND(AL70=1,SUM($AJ70:$AO70)=4),$M70/4,IF(AND(AL70=1,SUM($AJ70:$AO70)=3),$M70/3,IF(AND(AL70=1,SUM($AJ70:$AO70)=2),$M70/2,IF(AND(AL70=1,SUM($AJ70:$AO70)=1),$M70,0))))))</f>
        <v>344500</v>
      </c>
      <c r="AS70" s="28" t="n">
        <f aca="false">IF(AND(AM70=1,SUM($AJ70:$AO70)=6),$M70/6,IF(AND(AM70=1,SUM($AJ70:$AO70)=5),$M70/5,IF(AND(AM70=1,SUM($AJ70:$AO70)=4),$M70/4,IF(AND(AM70=1,SUM($AJ70:$AO70)=3),$M70/3,IF(AND(AM70=1,SUM($AJ70:$AO70)=2),$M70/2,IF(AND(AM70=1,SUM($AJ70:$AO70)=1),$M70,0))))))</f>
        <v>344500</v>
      </c>
      <c r="AT70" s="28" t="n">
        <f aca="false">IF(AND(AN70=1,SUM($AJ70:$AO70)=6),$M70/6,IF(AND(AN70=1,SUM($AJ70:$AO70)=5),$M70/5,IF(AND(AN70=1,SUM($AJ70:$AO70)=4),$M70/4,IF(AND(AN70=1,SUM($AJ70:$AO70)=3),$M70/3,IF(AND(AN70=1,SUM($AJ70:$AO70)=2),$M70/2,IF(AND(AN70=1,SUM($AJ70:$AO70)=1),$M70,0))))))</f>
        <v>0</v>
      </c>
      <c r="AU70" s="28" t="n">
        <f aca="false">IF(AND(AO70=1,SUM($AJ70:$AO70)=6),$M70/6,IF(AND(AO70=1,SUM($AJ70:$AO70)=5),$M70/5,IF(AND(AO70=1,SUM($AJ70:$AO70)=4),$M70/4,IF(AND(AO70=1,SUM($AJ70:$AO70)=3),$M70/3,IF(AND(AO70=1,SUM($AJ70:$AO70)=2),$M70/2,IF(AND(AO70=1,SUM($AJ70:$AO70)=1),$M70,0))))))</f>
        <v>0</v>
      </c>
      <c r="AV70" s="29" t="s">
        <v>114</v>
      </c>
      <c r="AW70" s="29"/>
      <c r="AX70" s="29" t="s">
        <v>116</v>
      </c>
      <c r="AY70" s="30"/>
      <c r="AZ70" s="29" t="s">
        <v>117</v>
      </c>
      <c r="BA70" s="30" t="s">
        <v>473</v>
      </c>
      <c r="BB70" s="29" t="s">
        <v>117</v>
      </c>
      <c r="BC70" s="30"/>
      <c r="BD70" s="26" t="s">
        <v>116</v>
      </c>
      <c r="BE70" s="30"/>
      <c r="BF70" s="29" t="s">
        <v>114</v>
      </c>
      <c r="BG70" s="30" t="s">
        <v>119</v>
      </c>
    </row>
    <row r="71" customFormat="false" ht="39.55" hidden="false" customHeight="false" outlineLevel="0" collapsed="false">
      <c r="A71" s="20" t="n">
        <v>69</v>
      </c>
      <c r="B71" s="20" t="s">
        <v>19</v>
      </c>
      <c r="C71" s="20" t="s">
        <v>474</v>
      </c>
      <c r="D71" s="32" t="s">
        <v>475</v>
      </c>
      <c r="E71" s="32" t="s">
        <v>45</v>
      </c>
      <c r="F71" s="21" t="s">
        <v>4</v>
      </c>
      <c r="G71" s="21" t="s">
        <v>109</v>
      </c>
      <c r="H71" s="35" t="s">
        <v>476</v>
      </c>
      <c r="I71" s="22" t="s">
        <v>111</v>
      </c>
      <c r="J71" s="22" t="s">
        <v>18</v>
      </c>
      <c r="K71" s="23" t="s">
        <v>130</v>
      </c>
      <c r="L71" s="24" t="n">
        <f aca="false">M71*3600</f>
        <v>3722400000</v>
      </c>
      <c r="M71" s="25" t="n">
        <v>1034000</v>
      </c>
      <c r="N71" s="21"/>
      <c r="O71" s="31" t="s">
        <v>477</v>
      </c>
      <c r="P71" s="21" t="s">
        <v>385</v>
      </c>
      <c r="Q71" s="21"/>
      <c r="R71" s="26"/>
      <c r="S71" s="26"/>
      <c r="T71" s="26"/>
      <c r="U71" s="26"/>
      <c r="V71" s="26"/>
      <c r="W71" s="26"/>
      <c r="X71" s="26"/>
      <c r="Y71" s="27" t="n">
        <v>1</v>
      </c>
      <c r="Z71" s="26"/>
      <c r="AA71" s="26"/>
      <c r="AB71" s="26"/>
      <c r="AC71" s="26"/>
      <c r="AD71" s="26"/>
      <c r="AE71" s="26"/>
      <c r="AF71" s="26"/>
      <c r="AG71" s="26"/>
      <c r="AH71" s="26"/>
      <c r="AI71" s="26"/>
      <c r="AJ71" s="22" t="n">
        <f aca="false">IF(SUM(R71:T71)&gt;0,1,0)</f>
        <v>0</v>
      </c>
      <c r="AK71" s="22" t="n">
        <f aca="false">IF(SUM(U71:W71)&gt;0,1,0)</f>
        <v>0</v>
      </c>
      <c r="AL71" s="22" t="n">
        <f aca="false">IF(SUM(X71:Z71)&gt;0,1,0)</f>
        <v>1</v>
      </c>
      <c r="AM71" s="22" t="n">
        <f aca="false">IF(SUM(AA71:AC71)&gt;0,1,0)</f>
        <v>0</v>
      </c>
      <c r="AN71" s="22" t="n">
        <f aca="false">IF(SUM(AD71:AF71)&gt;0,1,0)</f>
        <v>0</v>
      </c>
      <c r="AO71" s="22" t="n">
        <f aca="false">IF(SUM(AG71:AI71)&gt;0,1,0)</f>
        <v>0</v>
      </c>
      <c r="AP71" s="28" t="n">
        <f aca="false">IF(AND(AJ71=1,SUM($AJ71:$AO71)=6),$M71/6,IF(AND(AJ71=1,SUM($AJ71:$AO71)=5),$M71/5,IF(AND(AJ71=1,SUM($AJ71:$AO71)=4),$M71/4,IF(AND(AJ71=1,SUM($AJ71:$AO71)=3),$M71/3,IF(AND(AJ71=1,SUM($AJ71:$AO71)=2),$M71/2,IF(AND(AJ71=1,SUM($AJ71:$AO71)=1),$M71,0))))))</f>
        <v>0</v>
      </c>
      <c r="AQ71" s="28" t="n">
        <f aca="false">IF(AND(AK71=1,SUM($AJ71:$AO71)=6),$M71/6,IF(AND(AK71=1,SUM($AJ71:$AO71)=5),$M71/5,IF(AND(AK71=1,SUM($AJ71:$AO71)=4),$M71/4,IF(AND(AK71=1,SUM($AJ71:$AO71)=3),$M71/3,IF(AND(AK71=1,SUM($AJ71:$AO71)=2),$M71/2,IF(AND(AK71=1,SUM($AJ71:$AO71)=1),$M71,0))))))</f>
        <v>0</v>
      </c>
      <c r="AR71" s="28" t="n">
        <f aca="false">IF(AND(AL71=1,SUM($AJ71:$AO71)=6),$M71/6,IF(AND(AL71=1,SUM($AJ71:$AO71)=5),$M71/5,IF(AND(AL71=1,SUM($AJ71:$AO71)=4),$M71/4,IF(AND(AL71=1,SUM($AJ71:$AO71)=3),$M71/3,IF(AND(AL71=1,SUM($AJ71:$AO71)=2),$M71/2,IF(AND(AL71=1,SUM($AJ71:$AO71)=1),$M71,0))))))</f>
        <v>1034000</v>
      </c>
      <c r="AS71" s="28" t="n">
        <f aca="false">IF(AND(AM71=1,SUM($AJ71:$AO71)=6),$M71/6,IF(AND(AM71=1,SUM($AJ71:$AO71)=5),$M71/5,IF(AND(AM71=1,SUM($AJ71:$AO71)=4),$M71/4,IF(AND(AM71=1,SUM($AJ71:$AO71)=3),$M71/3,IF(AND(AM71=1,SUM($AJ71:$AO71)=2),$M71/2,IF(AND(AM71=1,SUM($AJ71:$AO71)=1),$M71,0))))))</f>
        <v>0</v>
      </c>
      <c r="AT71" s="28" t="n">
        <f aca="false">IF(AND(AN71=1,SUM($AJ71:$AO71)=6),$M71/6,IF(AND(AN71=1,SUM($AJ71:$AO71)=5),$M71/5,IF(AND(AN71=1,SUM($AJ71:$AO71)=4),$M71/4,IF(AND(AN71=1,SUM($AJ71:$AO71)=3),$M71/3,IF(AND(AN71=1,SUM($AJ71:$AO71)=2),$M71/2,IF(AND(AN71=1,SUM($AJ71:$AO71)=1),$M71,0))))))</f>
        <v>0</v>
      </c>
      <c r="AU71" s="28" t="n">
        <f aca="false">IF(AND(AO71=1,SUM($AJ71:$AO71)=6),$M71/6,IF(AND(AO71=1,SUM($AJ71:$AO71)=5),$M71/5,IF(AND(AO71=1,SUM($AJ71:$AO71)=4),$M71/4,IF(AND(AO71=1,SUM($AJ71:$AO71)=3),$M71/3,IF(AND(AO71=1,SUM($AJ71:$AO71)=2),$M71/2,IF(AND(AO71=1,SUM($AJ71:$AO71)=1),$M71,0))))))</f>
        <v>0</v>
      </c>
      <c r="AV71" s="26" t="s">
        <v>116</v>
      </c>
      <c r="AW71" s="30"/>
      <c r="AX71" s="29" t="s">
        <v>114</v>
      </c>
      <c r="AY71" s="30"/>
      <c r="AZ71" s="29" t="s">
        <v>117</v>
      </c>
      <c r="BA71" s="30"/>
      <c r="BB71" s="29" t="s">
        <v>114</v>
      </c>
      <c r="BC71" s="30"/>
      <c r="BD71" s="26" t="s">
        <v>116</v>
      </c>
      <c r="BE71" s="30"/>
      <c r="BF71" s="26" t="s">
        <v>116</v>
      </c>
      <c r="BG71" s="30" t="s">
        <v>119</v>
      </c>
    </row>
    <row r="72" customFormat="false" ht="26.85" hidden="false" customHeight="false" outlineLevel="0" collapsed="false">
      <c r="A72" s="20" t="n">
        <v>70</v>
      </c>
      <c r="B72" s="20" t="s">
        <v>19</v>
      </c>
      <c r="C72" s="20" t="s">
        <v>329</v>
      </c>
      <c r="D72" s="32" t="s">
        <v>478</v>
      </c>
      <c r="E72" s="32" t="s">
        <v>45</v>
      </c>
      <c r="F72" s="21" t="s">
        <v>4</v>
      </c>
      <c r="G72" s="21" t="s">
        <v>109</v>
      </c>
      <c r="H72" s="35" t="s">
        <v>121</v>
      </c>
      <c r="I72" s="22" t="s">
        <v>111</v>
      </c>
      <c r="J72" s="22" t="s">
        <v>16</v>
      </c>
      <c r="K72" s="23" t="s">
        <v>16</v>
      </c>
      <c r="L72" s="24" t="n">
        <f aca="false">M72*3600</f>
        <v>3724200000</v>
      </c>
      <c r="M72" s="25" t="n">
        <v>1034500</v>
      </c>
      <c r="N72" s="21"/>
      <c r="O72" s="21" t="s">
        <v>369</v>
      </c>
      <c r="P72" s="21" t="s">
        <v>270</v>
      </c>
      <c r="Q72" s="21"/>
      <c r="R72" s="27"/>
      <c r="S72" s="27"/>
      <c r="T72" s="27"/>
      <c r="U72" s="27" t="n">
        <v>1</v>
      </c>
      <c r="V72" s="27" t="n">
        <v>1</v>
      </c>
      <c r="W72" s="27" t="n">
        <v>1</v>
      </c>
      <c r="X72" s="27" t="n">
        <v>1</v>
      </c>
      <c r="Y72" s="27" t="n">
        <v>1</v>
      </c>
      <c r="Z72" s="27" t="n">
        <v>1</v>
      </c>
      <c r="AA72" s="27" t="n">
        <v>1</v>
      </c>
      <c r="AB72" s="27" t="n">
        <v>1</v>
      </c>
      <c r="AC72" s="27" t="n">
        <v>1</v>
      </c>
      <c r="AD72" s="27" t="n">
        <v>1</v>
      </c>
      <c r="AE72" s="27" t="n">
        <v>1</v>
      </c>
      <c r="AF72" s="27" t="n">
        <v>1</v>
      </c>
      <c r="AG72" s="27" t="n">
        <v>1</v>
      </c>
      <c r="AH72" s="27" t="n">
        <v>1</v>
      </c>
      <c r="AI72" s="27" t="n">
        <v>1</v>
      </c>
      <c r="AJ72" s="22" t="n">
        <f aca="false">IF(SUM(R72:T72)&gt;0,1,0)</f>
        <v>0</v>
      </c>
      <c r="AK72" s="22" t="n">
        <f aca="false">IF(SUM(U72:W72)&gt;0,1,0)</f>
        <v>1</v>
      </c>
      <c r="AL72" s="22" t="n">
        <f aca="false">IF(SUM(X72:Z72)&gt;0,1,0)</f>
        <v>1</v>
      </c>
      <c r="AM72" s="22" t="n">
        <f aca="false">IF(SUM(AA72:AC72)&gt;0,1,0)</f>
        <v>1</v>
      </c>
      <c r="AN72" s="22" t="n">
        <f aca="false">IF(SUM(AD72:AF72)&gt;0,1,0)</f>
        <v>1</v>
      </c>
      <c r="AO72" s="22" t="n">
        <f aca="false">IF(SUM(AG72:AI72)&gt;0,1,0)</f>
        <v>1</v>
      </c>
      <c r="AP72" s="28" t="n">
        <f aca="false">IF(AND(AJ72=1,SUM($AJ72:$AO72)=6),$M72/6,IF(AND(AJ72=1,SUM($AJ72:$AO72)=5),$M72/5,IF(AND(AJ72=1,SUM($AJ72:$AO72)=4),$M72/4,IF(AND(AJ72=1,SUM($AJ72:$AO72)=3),$M72/3,IF(AND(AJ72=1,SUM($AJ72:$AO72)=2),$M72/2,IF(AND(AJ72=1,SUM($AJ72:$AO72)=1),$M72,0))))))</f>
        <v>0</v>
      </c>
      <c r="AQ72" s="28" t="n">
        <f aca="false">IF(AND(AK72=1,SUM($AJ72:$AO72)=6),$M72/6,IF(AND(AK72=1,SUM($AJ72:$AO72)=5),$M72/5,IF(AND(AK72=1,SUM($AJ72:$AO72)=4),$M72/4,IF(AND(AK72=1,SUM($AJ72:$AO72)=3),$M72/3,IF(AND(AK72=1,SUM($AJ72:$AO72)=2),$M72/2,IF(AND(AK72=1,SUM($AJ72:$AO72)=1),$M72,0))))))</f>
        <v>206900</v>
      </c>
      <c r="AR72" s="28" t="n">
        <f aca="false">IF(AND(AL72=1,SUM($AJ72:$AO72)=6),$M72/6,IF(AND(AL72=1,SUM($AJ72:$AO72)=5),$M72/5,IF(AND(AL72=1,SUM($AJ72:$AO72)=4),$M72/4,IF(AND(AL72=1,SUM($AJ72:$AO72)=3),$M72/3,IF(AND(AL72=1,SUM($AJ72:$AO72)=2),$M72/2,IF(AND(AL72=1,SUM($AJ72:$AO72)=1),$M72,0))))))</f>
        <v>206900</v>
      </c>
      <c r="AS72" s="28" t="n">
        <f aca="false">IF(AND(AM72=1,SUM($AJ72:$AO72)=6),$M72/6,IF(AND(AM72=1,SUM($AJ72:$AO72)=5),$M72/5,IF(AND(AM72=1,SUM($AJ72:$AO72)=4),$M72/4,IF(AND(AM72=1,SUM($AJ72:$AO72)=3),$M72/3,IF(AND(AM72=1,SUM($AJ72:$AO72)=2),$M72/2,IF(AND(AM72=1,SUM($AJ72:$AO72)=1),$M72,0))))))</f>
        <v>206900</v>
      </c>
      <c r="AT72" s="28" t="n">
        <f aca="false">IF(AND(AN72=1,SUM($AJ72:$AO72)=6),$M72/6,IF(AND(AN72=1,SUM($AJ72:$AO72)=5),$M72/5,IF(AND(AN72=1,SUM($AJ72:$AO72)=4),$M72/4,IF(AND(AN72=1,SUM($AJ72:$AO72)=3),$M72/3,IF(AND(AN72=1,SUM($AJ72:$AO72)=2),$M72/2,IF(AND(AN72=1,SUM($AJ72:$AO72)=1),$M72,0))))))</f>
        <v>206900</v>
      </c>
      <c r="AU72" s="28" t="n">
        <f aca="false">IF(AND(AO72=1,SUM($AJ72:$AO72)=6),$M72/6,IF(AND(AO72=1,SUM($AJ72:$AO72)=5),$M72/5,IF(AND(AO72=1,SUM($AJ72:$AO72)=4),$M72/4,IF(AND(AO72=1,SUM($AJ72:$AO72)=3),$M72/3,IF(AND(AO72=1,SUM($AJ72:$AO72)=2),$M72/2,IF(AND(AO72=1,SUM($AJ72:$AO72)=1),$M72,0))))))</f>
        <v>206900</v>
      </c>
      <c r="AV72" s="26" t="s">
        <v>116</v>
      </c>
      <c r="AW72" s="30"/>
      <c r="AX72" s="29" t="s">
        <v>114</v>
      </c>
      <c r="AY72" s="30"/>
      <c r="AZ72" s="29" t="s">
        <v>114</v>
      </c>
      <c r="BA72" s="30"/>
      <c r="BB72" s="29" t="s">
        <v>114</v>
      </c>
      <c r="BC72" s="30"/>
      <c r="BD72" s="26" t="s">
        <v>116</v>
      </c>
      <c r="BE72" s="30"/>
      <c r="BF72" s="29" t="s">
        <v>114</v>
      </c>
      <c r="BG72" s="30" t="s">
        <v>119</v>
      </c>
    </row>
    <row r="73" customFormat="false" ht="39.55" hidden="false" customHeight="false" outlineLevel="0" collapsed="false">
      <c r="A73" s="20" t="n">
        <v>71</v>
      </c>
      <c r="B73" s="20" t="s">
        <v>19</v>
      </c>
      <c r="C73" s="20" t="s">
        <v>329</v>
      </c>
      <c r="D73" s="20" t="s">
        <v>479</v>
      </c>
      <c r="E73" s="20" t="s">
        <v>46</v>
      </c>
      <c r="F73" s="21" t="s">
        <v>4</v>
      </c>
      <c r="G73" s="21" t="s">
        <v>109</v>
      </c>
      <c r="H73" s="35" t="s">
        <v>317</v>
      </c>
      <c r="I73" s="22" t="s">
        <v>111</v>
      </c>
      <c r="J73" s="22" t="s">
        <v>16</v>
      </c>
      <c r="K73" s="23" t="s">
        <v>122</v>
      </c>
      <c r="L73" s="24" t="n">
        <f aca="false">M73*3600</f>
        <v>3726000000</v>
      </c>
      <c r="M73" s="25" t="n">
        <v>1035000</v>
      </c>
      <c r="N73" s="21"/>
      <c r="O73" s="21" t="s">
        <v>480</v>
      </c>
      <c r="P73" s="21" t="s">
        <v>270</v>
      </c>
      <c r="Q73" s="21"/>
      <c r="R73" s="26"/>
      <c r="S73" s="26"/>
      <c r="T73" s="26"/>
      <c r="U73" s="26"/>
      <c r="V73" s="26"/>
      <c r="W73" s="26"/>
      <c r="X73" s="26"/>
      <c r="Y73" s="27" t="n">
        <v>1</v>
      </c>
      <c r="Z73" s="27" t="n">
        <v>1</v>
      </c>
      <c r="AA73" s="26"/>
      <c r="AB73" s="26"/>
      <c r="AC73" s="26"/>
      <c r="AD73" s="26"/>
      <c r="AE73" s="26"/>
      <c r="AF73" s="26"/>
      <c r="AG73" s="26"/>
      <c r="AH73" s="26"/>
      <c r="AI73" s="26"/>
      <c r="AJ73" s="22" t="n">
        <f aca="false">IF(SUM(R73:T73)&gt;0,1,0)</f>
        <v>0</v>
      </c>
      <c r="AK73" s="22" t="n">
        <f aca="false">IF(SUM(U73:W73)&gt;0,1,0)</f>
        <v>0</v>
      </c>
      <c r="AL73" s="22" t="n">
        <f aca="false">IF(SUM(X73:Z73)&gt;0,1,0)</f>
        <v>1</v>
      </c>
      <c r="AM73" s="22" t="n">
        <f aca="false">IF(SUM(AA73:AC73)&gt;0,1,0)</f>
        <v>0</v>
      </c>
      <c r="AN73" s="22" t="n">
        <f aca="false">IF(SUM(AD73:AF73)&gt;0,1,0)</f>
        <v>0</v>
      </c>
      <c r="AO73" s="22" t="n">
        <f aca="false">IF(SUM(AG73:AI73)&gt;0,1,0)</f>
        <v>0</v>
      </c>
      <c r="AP73" s="28" t="n">
        <f aca="false">IF(AND(AJ73=1,SUM($AJ73:$AO73)=6),$M73/6,IF(AND(AJ73=1,SUM($AJ73:$AO73)=5),$M73/5,IF(AND(AJ73=1,SUM($AJ73:$AO73)=4),$M73/4,IF(AND(AJ73=1,SUM($AJ73:$AO73)=3),$M73/3,IF(AND(AJ73=1,SUM($AJ73:$AO73)=2),$M73/2,IF(AND(AJ73=1,SUM($AJ73:$AO73)=1),$M73,0))))))</f>
        <v>0</v>
      </c>
      <c r="AQ73" s="28" t="n">
        <f aca="false">IF(AND(AK73=1,SUM($AJ73:$AO73)=6),$M73/6,IF(AND(AK73=1,SUM($AJ73:$AO73)=5),$M73/5,IF(AND(AK73=1,SUM($AJ73:$AO73)=4),$M73/4,IF(AND(AK73=1,SUM($AJ73:$AO73)=3),$M73/3,IF(AND(AK73=1,SUM($AJ73:$AO73)=2),$M73/2,IF(AND(AK73=1,SUM($AJ73:$AO73)=1),$M73,0))))))</f>
        <v>0</v>
      </c>
      <c r="AR73" s="28" t="n">
        <f aca="false">IF(AND(AL73=1,SUM($AJ73:$AO73)=6),$M73/6,IF(AND(AL73=1,SUM($AJ73:$AO73)=5),$M73/5,IF(AND(AL73=1,SUM($AJ73:$AO73)=4),$M73/4,IF(AND(AL73=1,SUM($AJ73:$AO73)=3),$M73/3,IF(AND(AL73=1,SUM($AJ73:$AO73)=2),$M73/2,IF(AND(AL73=1,SUM($AJ73:$AO73)=1),$M73,0))))))</f>
        <v>1035000</v>
      </c>
      <c r="AS73" s="28" t="n">
        <f aca="false">IF(AND(AM73=1,SUM($AJ73:$AO73)=6),$M73/6,IF(AND(AM73=1,SUM($AJ73:$AO73)=5),$M73/5,IF(AND(AM73=1,SUM($AJ73:$AO73)=4),$M73/4,IF(AND(AM73=1,SUM($AJ73:$AO73)=3),$M73/3,IF(AND(AM73=1,SUM($AJ73:$AO73)=2),$M73/2,IF(AND(AM73=1,SUM($AJ73:$AO73)=1),$M73,0))))))</f>
        <v>0</v>
      </c>
      <c r="AT73" s="28" t="n">
        <f aca="false">IF(AND(AN73=1,SUM($AJ73:$AO73)=6),$M73/6,IF(AND(AN73=1,SUM($AJ73:$AO73)=5),$M73/5,IF(AND(AN73=1,SUM($AJ73:$AO73)=4),$M73/4,IF(AND(AN73=1,SUM($AJ73:$AO73)=3),$M73/3,IF(AND(AN73=1,SUM($AJ73:$AO73)=2),$M73/2,IF(AND(AN73=1,SUM($AJ73:$AO73)=1),$M73,0))))))</f>
        <v>0</v>
      </c>
      <c r="AU73" s="28" t="n">
        <f aca="false">IF(AND(AO73=1,SUM($AJ73:$AO73)=6),$M73/6,IF(AND(AO73=1,SUM($AJ73:$AO73)=5),$M73/5,IF(AND(AO73=1,SUM($AJ73:$AO73)=4),$M73/4,IF(AND(AO73=1,SUM($AJ73:$AO73)=3),$M73/3,IF(AND(AO73=1,SUM($AJ73:$AO73)=2),$M73/2,IF(AND(AO73=1,SUM($AJ73:$AO73)=1),$M73,0))))))</f>
        <v>0</v>
      </c>
      <c r="AV73" s="26" t="s">
        <v>116</v>
      </c>
      <c r="AW73" s="26"/>
      <c r="AX73" s="29" t="s">
        <v>114</v>
      </c>
      <c r="AY73" s="26"/>
      <c r="AZ73" s="29" t="s">
        <v>117</v>
      </c>
      <c r="BA73" s="26"/>
      <c r="BB73" s="29" t="s">
        <v>114</v>
      </c>
      <c r="BC73" s="26"/>
      <c r="BD73" s="26" t="s">
        <v>116</v>
      </c>
      <c r="BE73" s="26"/>
      <c r="BF73" s="29" t="s">
        <v>114</v>
      </c>
      <c r="BG73" s="30" t="s">
        <v>119</v>
      </c>
    </row>
    <row r="74" customFormat="false" ht="39.55" hidden="false" customHeight="false" outlineLevel="0" collapsed="false">
      <c r="A74" s="20" t="n">
        <v>72</v>
      </c>
      <c r="B74" s="20" t="s">
        <v>21</v>
      </c>
      <c r="C74" s="20" t="s">
        <v>383</v>
      </c>
      <c r="D74" s="32" t="s">
        <v>481</v>
      </c>
      <c r="E74" s="32" t="s">
        <v>46</v>
      </c>
      <c r="F74" s="21" t="s">
        <v>4</v>
      </c>
      <c r="G74" s="21" t="s">
        <v>109</v>
      </c>
      <c r="H74" s="21" t="s">
        <v>338</v>
      </c>
      <c r="I74" s="22" t="s">
        <v>111</v>
      </c>
      <c r="J74" s="22" t="s">
        <v>14</v>
      </c>
      <c r="K74" s="23" t="s">
        <v>130</v>
      </c>
      <c r="L74" s="24" t="n">
        <f aca="false">M74*3600</f>
        <v>3727800000</v>
      </c>
      <c r="M74" s="25" t="n">
        <v>1035500</v>
      </c>
      <c r="N74" s="36"/>
      <c r="O74" s="45" t="n">
        <v>43952</v>
      </c>
      <c r="P74" s="36" t="s">
        <v>385</v>
      </c>
      <c r="Q74" s="36" t="s">
        <v>482</v>
      </c>
      <c r="R74" s="26"/>
      <c r="S74" s="26"/>
      <c r="T74" s="26"/>
      <c r="U74" s="26"/>
      <c r="V74" s="26" t="n">
        <v>1</v>
      </c>
      <c r="W74" s="26"/>
      <c r="X74" s="26"/>
      <c r="Y74" s="26"/>
      <c r="Z74" s="26"/>
      <c r="AA74" s="26"/>
      <c r="AB74" s="26"/>
      <c r="AC74" s="26"/>
      <c r="AD74" s="26"/>
      <c r="AE74" s="26"/>
      <c r="AF74" s="26"/>
      <c r="AG74" s="26"/>
      <c r="AH74" s="26"/>
      <c r="AI74" s="26"/>
      <c r="AJ74" s="22" t="n">
        <f aca="false">IF(SUM(R74:T74)&gt;0,1,0)</f>
        <v>0</v>
      </c>
      <c r="AK74" s="22" t="n">
        <f aca="false">IF(SUM(U74:W74)&gt;0,1,0)</f>
        <v>1</v>
      </c>
      <c r="AL74" s="22" t="n">
        <f aca="false">IF(SUM(X74:Z74)&gt;0,1,0)</f>
        <v>0</v>
      </c>
      <c r="AM74" s="22" t="n">
        <f aca="false">IF(SUM(AA74:AC74)&gt;0,1,0)</f>
        <v>0</v>
      </c>
      <c r="AN74" s="22" t="n">
        <f aca="false">IF(SUM(AD74:AF74)&gt;0,1,0)</f>
        <v>0</v>
      </c>
      <c r="AO74" s="22" t="n">
        <f aca="false">IF(SUM(AG74:AI74)&gt;0,1,0)</f>
        <v>0</v>
      </c>
      <c r="AP74" s="28" t="n">
        <f aca="false">IF(AND(AJ74=1,SUM($AJ74:$AO74)=6),$M74/6,IF(AND(AJ74=1,SUM($AJ74:$AO74)=5),$M74/5,IF(AND(AJ74=1,SUM($AJ74:$AO74)=4),$M74/4,IF(AND(AJ74=1,SUM($AJ74:$AO74)=3),$M74/3,IF(AND(AJ74=1,SUM($AJ74:$AO74)=2),$M74/2,IF(AND(AJ74=1,SUM($AJ74:$AO74)=1),$M74,0))))))</f>
        <v>0</v>
      </c>
      <c r="AQ74" s="28" t="n">
        <f aca="false">IF(AND(AK74=1,SUM($AJ74:$AO74)=6),$M74/6,IF(AND(AK74=1,SUM($AJ74:$AO74)=5),$M74/5,IF(AND(AK74=1,SUM($AJ74:$AO74)=4),$M74/4,IF(AND(AK74=1,SUM($AJ74:$AO74)=3),$M74/3,IF(AND(AK74=1,SUM($AJ74:$AO74)=2),$M74/2,IF(AND(AK74=1,SUM($AJ74:$AO74)=1),$M74,0))))))</f>
        <v>1035500</v>
      </c>
      <c r="AR74" s="28" t="n">
        <f aca="false">IF(AND(AL74=1,SUM($AJ74:$AO74)=6),$M74/6,IF(AND(AL74=1,SUM($AJ74:$AO74)=5),$M74/5,IF(AND(AL74=1,SUM($AJ74:$AO74)=4),$M74/4,IF(AND(AL74=1,SUM($AJ74:$AO74)=3),$M74/3,IF(AND(AL74=1,SUM($AJ74:$AO74)=2),$M74/2,IF(AND(AL74=1,SUM($AJ74:$AO74)=1),$M74,0))))))</f>
        <v>0</v>
      </c>
      <c r="AS74" s="28" t="n">
        <f aca="false">IF(AND(AM74=1,SUM($AJ74:$AO74)=6),$M74/6,IF(AND(AM74=1,SUM($AJ74:$AO74)=5),$M74/5,IF(AND(AM74=1,SUM($AJ74:$AO74)=4),$M74/4,IF(AND(AM74=1,SUM($AJ74:$AO74)=3),$M74/3,IF(AND(AM74=1,SUM($AJ74:$AO74)=2),$M74/2,IF(AND(AM74=1,SUM($AJ74:$AO74)=1),$M74,0))))))</f>
        <v>0</v>
      </c>
      <c r="AT74" s="28" t="n">
        <f aca="false">IF(AND(AN74=1,SUM($AJ74:$AO74)=6),$M74/6,IF(AND(AN74=1,SUM($AJ74:$AO74)=5),$M74/5,IF(AND(AN74=1,SUM($AJ74:$AO74)=4),$M74/4,IF(AND(AN74=1,SUM($AJ74:$AO74)=3),$M74/3,IF(AND(AN74=1,SUM($AJ74:$AO74)=2),$M74/2,IF(AND(AN74=1,SUM($AJ74:$AO74)=1),$M74,0))))))</f>
        <v>0</v>
      </c>
      <c r="AU74" s="28" t="n">
        <f aca="false">IF(AND(AO74=1,SUM($AJ74:$AO74)=6),$M74/6,IF(AND(AO74=1,SUM($AJ74:$AO74)=5),$M74/5,IF(AND(AO74=1,SUM($AJ74:$AO74)=4),$M74/4,IF(AND(AO74=1,SUM($AJ74:$AO74)=3),$M74/3,IF(AND(AO74=1,SUM($AJ74:$AO74)=2),$M74/2,IF(AND(AO74=1,SUM($AJ74:$AO74)=1),$M74,0))))))</f>
        <v>0</v>
      </c>
      <c r="AV74" s="29" t="s">
        <v>114</v>
      </c>
      <c r="AW74" s="26"/>
      <c r="AX74" s="29" t="s">
        <v>114</v>
      </c>
      <c r="AY74" s="26"/>
      <c r="AZ74" s="29" t="s">
        <v>117</v>
      </c>
      <c r="BA74" s="26"/>
      <c r="BB74" s="29" t="s">
        <v>114</v>
      </c>
      <c r="BC74" s="26"/>
      <c r="BD74" s="26" t="s">
        <v>116</v>
      </c>
      <c r="BE74" s="26"/>
      <c r="BF74" s="29" t="s">
        <v>117</v>
      </c>
      <c r="BG74" s="30" t="s">
        <v>119</v>
      </c>
    </row>
    <row r="75" customFormat="false" ht="39.55" hidden="false" customHeight="false" outlineLevel="0" collapsed="false">
      <c r="A75" s="20" t="n">
        <v>73</v>
      </c>
      <c r="B75" s="20" t="s">
        <v>21</v>
      </c>
      <c r="C75" s="20" t="s">
        <v>107</v>
      </c>
      <c r="D75" s="32" t="s">
        <v>483</v>
      </c>
      <c r="E75" s="32" t="s">
        <v>45</v>
      </c>
      <c r="F75" s="21" t="s">
        <v>4</v>
      </c>
      <c r="G75" s="21" t="s">
        <v>109</v>
      </c>
      <c r="H75" s="21" t="s">
        <v>110</v>
      </c>
      <c r="I75" s="22" t="s">
        <v>111</v>
      </c>
      <c r="J75" s="22" t="s">
        <v>16</v>
      </c>
      <c r="K75" s="23" t="s">
        <v>16</v>
      </c>
      <c r="L75" s="24" t="n">
        <f aca="false">M75*3600</f>
        <v>3729600000</v>
      </c>
      <c r="M75" s="25" t="n">
        <v>1036000</v>
      </c>
      <c r="N75" s="22" t="s">
        <v>484</v>
      </c>
      <c r="O75" s="31" t="n">
        <v>44136</v>
      </c>
      <c r="P75" s="49" t="s">
        <v>485</v>
      </c>
      <c r="Q75" s="21" t="s">
        <v>23</v>
      </c>
      <c r="R75" s="26"/>
      <c r="S75" s="26"/>
      <c r="T75" s="26"/>
      <c r="U75" s="26"/>
      <c r="V75" s="26"/>
      <c r="W75" s="26"/>
      <c r="X75" s="26"/>
      <c r="Y75" s="26"/>
      <c r="Z75" s="26"/>
      <c r="AA75" s="26"/>
      <c r="AB75" s="27" t="n">
        <v>1</v>
      </c>
      <c r="AC75" s="26"/>
      <c r="AD75" s="26"/>
      <c r="AE75" s="26"/>
      <c r="AF75" s="26"/>
      <c r="AG75" s="26"/>
      <c r="AH75" s="26"/>
      <c r="AI75" s="26"/>
      <c r="AJ75" s="22" t="n">
        <f aca="false">IF(SUM(R75:T75)&gt;0,1,0)</f>
        <v>0</v>
      </c>
      <c r="AK75" s="22" t="n">
        <f aca="false">IF(SUM(U75:W75)&gt;0,1,0)</f>
        <v>0</v>
      </c>
      <c r="AL75" s="22" t="n">
        <f aca="false">IF(SUM(X75:Z75)&gt;0,1,0)</f>
        <v>0</v>
      </c>
      <c r="AM75" s="22" t="n">
        <f aca="false">IF(SUM(AA75:AC75)&gt;0,1,0)</f>
        <v>1</v>
      </c>
      <c r="AN75" s="22" t="n">
        <f aca="false">IF(SUM(AD75:AF75)&gt;0,1,0)</f>
        <v>0</v>
      </c>
      <c r="AO75" s="22" t="n">
        <f aca="false">IF(SUM(AG75:AI75)&gt;0,1,0)</f>
        <v>0</v>
      </c>
      <c r="AP75" s="28" t="n">
        <f aca="false">IF(AND(AJ75=1,SUM($AJ75:$AO75)=6),$M75/6,IF(AND(AJ75=1,SUM($AJ75:$AO75)=5),$M75/5,IF(AND(AJ75=1,SUM($AJ75:$AO75)=4),$M75/4,IF(AND(AJ75=1,SUM($AJ75:$AO75)=3),$M75/3,IF(AND(AJ75=1,SUM($AJ75:$AO75)=2),$M75/2,IF(AND(AJ75=1,SUM($AJ75:$AO75)=1),$M75,0))))))</f>
        <v>0</v>
      </c>
      <c r="AQ75" s="28" t="n">
        <f aca="false">IF(AND(AK75=1,SUM($AJ75:$AO75)=6),$M75/6,IF(AND(AK75=1,SUM($AJ75:$AO75)=5),$M75/5,IF(AND(AK75=1,SUM($AJ75:$AO75)=4),$M75/4,IF(AND(AK75=1,SUM($AJ75:$AO75)=3),$M75/3,IF(AND(AK75=1,SUM($AJ75:$AO75)=2),$M75/2,IF(AND(AK75=1,SUM($AJ75:$AO75)=1),$M75,0))))))</f>
        <v>0</v>
      </c>
      <c r="AR75" s="28" t="n">
        <f aca="false">IF(AND(AL75=1,SUM($AJ75:$AO75)=6),$M75/6,IF(AND(AL75=1,SUM($AJ75:$AO75)=5),$M75/5,IF(AND(AL75=1,SUM($AJ75:$AO75)=4),$M75/4,IF(AND(AL75=1,SUM($AJ75:$AO75)=3),$M75/3,IF(AND(AL75=1,SUM($AJ75:$AO75)=2),$M75/2,IF(AND(AL75=1,SUM($AJ75:$AO75)=1),$M75,0))))))</f>
        <v>0</v>
      </c>
      <c r="AS75" s="28" t="n">
        <f aca="false">IF(AND(AM75=1,SUM($AJ75:$AO75)=6),$M75/6,IF(AND(AM75=1,SUM($AJ75:$AO75)=5),$M75/5,IF(AND(AM75=1,SUM($AJ75:$AO75)=4),$M75/4,IF(AND(AM75=1,SUM($AJ75:$AO75)=3),$M75/3,IF(AND(AM75=1,SUM($AJ75:$AO75)=2),$M75/2,IF(AND(AM75=1,SUM($AJ75:$AO75)=1),$M75,0))))))</f>
        <v>1036000</v>
      </c>
      <c r="AT75" s="28" t="n">
        <f aca="false">IF(AND(AN75=1,SUM($AJ75:$AO75)=6),$M75/6,IF(AND(AN75=1,SUM($AJ75:$AO75)=5),$M75/5,IF(AND(AN75=1,SUM($AJ75:$AO75)=4),$M75/4,IF(AND(AN75=1,SUM($AJ75:$AO75)=3),$M75/3,IF(AND(AN75=1,SUM($AJ75:$AO75)=2),$M75/2,IF(AND(AN75=1,SUM($AJ75:$AO75)=1),$M75,0))))))</f>
        <v>0</v>
      </c>
      <c r="AU75" s="28" t="n">
        <f aca="false">IF(AND(AO75=1,SUM($AJ75:$AO75)=6),$M75/6,IF(AND(AO75=1,SUM($AJ75:$AO75)=5),$M75/5,IF(AND(AO75=1,SUM($AJ75:$AO75)=4),$M75/4,IF(AND(AO75=1,SUM($AJ75:$AO75)=3),$M75/3,IF(AND(AO75=1,SUM($AJ75:$AO75)=2),$M75/2,IF(AND(AO75=1,SUM($AJ75:$AO75)=1),$M75,0))))))</f>
        <v>0</v>
      </c>
      <c r="AV75" s="29" t="s">
        <v>114</v>
      </c>
      <c r="AW75" s="29"/>
      <c r="AX75" s="29" t="s">
        <v>114</v>
      </c>
      <c r="AY75" s="30"/>
      <c r="AZ75" s="29" t="s">
        <v>117</v>
      </c>
      <c r="BA75" s="30"/>
      <c r="BB75" s="29" t="s">
        <v>114</v>
      </c>
      <c r="BC75" s="30"/>
      <c r="BD75" s="26" t="s">
        <v>116</v>
      </c>
      <c r="BE75" s="30"/>
      <c r="BF75" s="29" t="s">
        <v>117</v>
      </c>
      <c r="BG75" s="30" t="s">
        <v>119</v>
      </c>
    </row>
    <row r="76" customFormat="false" ht="39.55" hidden="false" customHeight="false" outlineLevel="0" collapsed="false">
      <c r="A76" s="20" t="n">
        <v>74</v>
      </c>
      <c r="B76" s="20" t="s">
        <v>21</v>
      </c>
      <c r="C76" s="20" t="s">
        <v>383</v>
      </c>
      <c r="D76" s="32" t="s">
        <v>486</v>
      </c>
      <c r="E76" s="32" t="s">
        <v>46</v>
      </c>
      <c r="F76" s="21" t="s">
        <v>4</v>
      </c>
      <c r="G76" s="21" t="s">
        <v>109</v>
      </c>
      <c r="H76" s="21" t="s">
        <v>487</v>
      </c>
      <c r="I76" s="22"/>
      <c r="J76" s="22" t="s">
        <v>18</v>
      </c>
      <c r="K76" s="23" t="s">
        <v>122</v>
      </c>
      <c r="L76" s="24" t="n">
        <f aca="false">M76*3600</f>
        <v>3731400000</v>
      </c>
      <c r="M76" s="25" t="n">
        <v>1036500</v>
      </c>
      <c r="N76" s="21"/>
      <c r="O76" s="21" t="s">
        <v>488</v>
      </c>
      <c r="P76" s="21" t="s">
        <v>485</v>
      </c>
      <c r="Q76" s="21" t="s">
        <v>489</v>
      </c>
      <c r="R76" s="26"/>
      <c r="S76" s="26"/>
      <c r="T76" s="26"/>
      <c r="U76" s="27" t="n">
        <v>1</v>
      </c>
      <c r="V76" s="27" t="n">
        <v>1</v>
      </c>
      <c r="W76" s="26"/>
      <c r="X76" s="26"/>
      <c r="Y76" s="26"/>
      <c r="Z76" s="26"/>
      <c r="AA76" s="27" t="n">
        <v>1</v>
      </c>
      <c r="AB76" s="27" t="n">
        <v>1</v>
      </c>
      <c r="AC76" s="26"/>
      <c r="AD76" s="26"/>
      <c r="AE76" s="26"/>
      <c r="AF76" s="26"/>
      <c r="AG76" s="27" t="n">
        <v>1</v>
      </c>
      <c r="AH76" s="27" t="n">
        <v>1</v>
      </c>
      <c r="AI76" s="26"/>
      <c r="AJ76" s="22" t="n">
        <f aca="false">IF(SUM(R76:T76)&gt;0,1,0)</f>
        <v>0</v>
      </c>
      <c r="AK76" s="22" t="n">
        <f aca="false">IF(SUM(U76:W76)&gt;0,1,0)</f>
        <v>1</v>
      </c>
      <c r="AL76" s="22" t="n">
        <f aca="false">IF(SUM(X76:Z76)&gt;0,1,0)</f>
        <v>0</v>
      </c>
      <c r="AM76" s="22" t="n">
        <f aca="false">IF(SUM(AA76:AC76)&gt;0,1,0)</f>
        <v>1</v>
      </c>
      <c r="AN76" s="22" t="n">
        <f aca="false">IF(SUM(AD76:AF76)&gt;0,1,0)</f>
        <v>0</v>
      </c>
      <c r="AO76" s="22" t="n">
        <f aca="false">IF(SUM(AG76:AI76)&gt;0,1,0)</f>
        <v>1</v>
      </c>
      <c r="AP76" s="28" t="n">
        <f aca="false">IF(AND(AJ76=1,SUM($AJ76:$AO76)=6),$M76/6,IF(AND(AJ76=1,SUM($AJ76:$AO76)=5),$M76/5,IF(AND(AJ76=1,SUM($AJ76:$AO76)=4),$M76/4,IF(AND(AJ76=1,SUM($AJ76:$AO76)=3),$M76/3,IF(AND(AJ76=1,SUM($AJ76:$AO76)=2),$M76/2,IF(AND(AJ76=1,SUM($AJ76:$AO76)=1),$M76,0))))))</f>
        <v>0</v>
      </c>
      <c r="AQ76" s="28" t="n">
        <f aca="false">IF(AND(AK76=1,SUM($AJ76:$AO76)=6),$M76/6,IF(AND(AK76=1,SUM($AJ76:$AO76)=5),$M76/5,IF(AND(AK76=1,SUM($AJ76:$AO76)=4),$M76/4,IF(AND(AK76=1,SUM($AJ76:$AO76)=3),$M76/3,IF(AND(AK76=1,SUM($AJ76:$AO76)=2),$M76/2,IF(AND(AK76=1,SUM($AJ76:$AO76)=1),$M76,0))))))</f>
        <v>345500</v>
      </c>
      <c r="AR76" s="28" t="n">
        <f aca="false">IF(AND(AL76=1,SUM($AJ76:$AO76)=6),$M76/6,IF(AND(AL76=1,SUM($AJ76:$AO76)=5),$M76/5,IF(AND(AL76=1,SUM($AJ76:$AO76)=4),$M76/4,IF(AND(AL76=1,SUM($AJ76:$AO76)=3),$M76/3,IF(AND(AL76=1,SUM($AJ76:$AO76)=2),$M76/2,IF(AND(AL76=1,SUM($AJ76:$AO76)=1),$M76,0))))))</f>
        <v>0</v>
      </c>
      <c r="AS76" s="28" t="n">
        <f aca="false">IF(AND(AM76=1,SUM($AJ76:$AO76)=6),$M76/6,IF(AND(AM76=1,SUM($AJ76:$AO76)=5),$M76/5,IF(AND(AM76=1,SUM($AJ76:$AO76)=4),$M76/4,IF(AND(AM76=1,SUM($AJ76:$AO76)=3),$M76/3,IF(AND(AM76=1,SUM($AJ76:$AO76)=2),$M76/2,IF(AND(AM76=1,SUM($AJ76:$AO76)=1),$M76,0))))))</f>
        <v>345500</v>
      </c>
      <c r="AT76" s="28" t="n">
        <f aca="false">IF(AND(AN76=1,SUM($AJ76:$AO76)=6),$M76/6,IF(AND(AN76=1,SUM($AJ76:$AO76)=5),$M76/5,IF(AND(AN76=1,SUM($AJ76:$AO76)=4),$M76/4,IF(AND(AN76=1,SUM($AJ76:$AO76)=3),$M76/3,IF(AND(AN76=1,SUM($AJ76:$AO76)=2),$M76/2,IF(AND(AN76=1,SUM($AJ76:$AO76)=1),$M76,0))))))</f>
        <v>0</v>
      </c>
      <c r="AU76" s="28" t="n">
        <f aca="false">IF(AND(AO76=1,SUM($AJ76:$AO76)=6),$M76/6,IF(AND(AO76=1,SUM($AJ76:$AO76)=5),$M76/5,IF(AND(AO76=1,SUM($AJ76:$AO76)=4),$M76/4,IF(AND(AO76=1,SUM($AJ76:$AO76)=3),$M76/3,IF(AND(AO76=1,SUM($AJ76:$AO76)=2),$M76/2,IF(AND(AO76=1,SUM($AJ76:$AO76)=1),$M76,0))))))</f>
        <v>345500</v>
      </c>
      <c r="AV76" s="29" t="s">
        <v>114</v>
      </c>
      <c r="AW76" s="29"/>
      <c r="AX76" s="29" t="s">
        <v>114</v>
      </c>
      <c r="AY76" s="30"/>
      <c r="AZ76" s="29" t="s">
        <v>114</v>
      </c>
      <c r="BA76" s="30"/>
      <c r="BB76" s="29" t="s">
        <v>114</v>
      </c>
      <c r="BC76" s="30"/>
      <c r="BD76" s="29" t="s">
        <v>114</v>
      </c>
      <c r="BE76" s="30"/>
      <c r="BF76" s="29" t="s">
        <v>114</v>
      </c>
      <c r="BG76" s="30" t="s">
        <v>119</v>
      </c>
    </row>
    <row r="77" customFormat="false" ht="39.55" hidden="false" customHeight="false" outlineLevel="0" collapsed="false">
      <c r="A77" s="20" t="n">
        <v>75</v>
      </c>
      <c r="B77" s="20" t="s">
        <v>21</v>
      </c>
      <c r="C77" s="32" t="s">
        <v>127</v>
      </c>
      <c r="D77" s="32" t="s">
        <v>490</v>
      </c>
      <c r="E77" s="32" t="s">
        <v>45</v>
      </c>
      <c r="F77" s="21" t="s">
        <v>4</v>
      </c>
      <c r="G77" s="21" t="s">
        <v>109</v>
      </c>
      <c r="H77" s="21" t="s">
        <v>283</v>
      </c>
      <c r="I77" s="22" t="s">
        <v>111</v>
      </c>
      <c r="J77" s="22" t="s">
        <v>18</v>
      </c>
      <c r="K77" s="23" t="s">
        <v>130</v>
      </c>
      <c r="L77" s="24" t="n">
        <f aca="false">M77*3600</f>
        <v>3733200000</v>
      </c>
      <c r="M77" s="25" t="n">
        <v>1037000</v>
      </c>
      <c r="N77" s="50" t="s">
        <v>491</v>
      </c>
      <c r="O77" s="31" t="n">
        <v>43862</v>
      </c>
      <c r="P77" s="21" t="s">
        <v>385</v>
      </c>
      <c r="Q77" s="21"/>
      <c r="R77" s="26"/>
      <c r="S77" s="27" t="n">
        <v>1</v>
      </c>
      <c r="T77" s="26"/>
      <c r="U77" s="26"/>
      <c r="V77" s="26"/>
      <c r="W77" s="26"/>
      <c r="X77" s="26"/>
      <c r="Y77" s="26"/>
      <c r="Z77" s="26"/>
      <c r="AA77" s="26"/>
      <c r="AB77" s="26"/>
      <c r="AC77" s="26"/>
      <c r="AD77" s="26"/>
      <c r="AE77" s="26"/>
      <c r="AF77" s="26"/>
      <c r="AG77" s="26"/>
      <c r="AH77" s="26"/>
      <c r="AI77" s="26"/>
      <c r="AJ77" s="22" t="n">
        <f aca="false">IF(SUM(R77:T77)&gt;0,1,0)</f>
        <v>1</v>
      </c>
      <c r="AK77" s="22" t="n">
        <f aca="false">IF(SUM(U77:W77)&gt;0,1,0)</f>
        <v>0</v>
      </c>
      <c r="AL77" s="22" t="n">
        <f aca="false">IF(SUM(X77:Z77)&gt;0,1,0)</f>
        <v>0</v>
      </c>
      <c r="AM77" s="22" t="n">
        <f aca="false">IF(SUM(AA77:AC77)&gt;0,1,0)</f>
        <v>0</v>
      </c>
      <c r="AN77" s="22" t="n">
        <f aca="false">IF(SUM(AD77:AF77)&gt;0,1,0)</f>
        <v>0</v>
      </c>
      <c r="AO77" s="22" t="n">
        <f aca="false">IF(SUM(AG77:AI77)&gt;0,1,0)</f>
        <v>0</v>
      </c>
      <c r="AP77" s="28" t="n">
        <f aca="false">IF(AND(AJ77=1,SUM($AJ77:$AO77)=6),$M77/6,IF(AND(AJ77=1,SUM($AJ77:$AO77)=5),$M77/5,IF(AND(AJ77=1,SUM($AJ77:$AO77)=4),$M77/4,IF(AND(AJ77=1,SUM($AJ77:$AO77)=3),$M77/3,IF(AND(AJ77=1,SUM($AJ77:$AO77)=2),$M77/2,IF(AND(AJ77=1,SUM($AJ77:$AO77)=1),$M77,0))))))</f>
        <v>1037000</v>
      </c>
      <c r="AQ77" s="28" t="n">
        <f aca="false">IF(AND(AK77=1,SUM($AJ77:$AO77)=6),$M77/6,IF(AND(AK77=1,SUM($AJ77:$AO77)=5),$M77/5,IF(AND(AK77=1,SUM($AJ77:$AO77)=4),$M77/4,IF(AND(AK77=1,SUM($AJ77:$AO77)=3),$M77/3,IF(AND(AK77=1,SUM($AJ77:$AO77)=2),$M77/2,IF(AND(AK77=1,SUM($AJ77:$AO77)=1),$M77,0))))))</f>
        <v>0</v>
      </c>
      <c r="AR77" s="28" t="n">
        <f aca="false">IF(AND(AL77=1,SUM($AJ77:$AO77)=6),$M77/6,IF(AND(AL77=1,SUM($AJ77:$AO77)=5),$M77/5,IF(AND(AL77=1,SUM($AJ77:$AO77)=4),$M77/4,IF(AND(AL77=1,SUM($AJ77:$AO77)=3),$M77/3,IF(AND(AL77=1,SUM($AJ77:$AO77)=2),$M77/2,IF(AND(AL77=1,SUM($AJ77:$AO77)=1),$M77,0))))))</f>
        <v>0</v>
      </c>
      <c r="AS77" s="28" t="n">
        <f aca="false">IF(AND(AM77=1,SUM($AJ77:$AO77)=6),$M77/6,IF(AND(AM77=1,SUM($AJ77:$AO77)=5),$M77/5,IF(AND(AM77=1,SUM($AJ77:$AO77)=4),$M77/4,IF(AND(AM77=1,SUM($AJ77:$AO77)=3),$M77/3,IF(AND(AM77=1,SUM($AJ77:$AO77)=2),$M77/2,IF(AND(AM77=1,SUM($AJ77:$AO77)=1),$M77,0))))))</f>
        <v>0</v>
      </c>
      <c r="AT77" s="28" t="n">
        <f aca="false">IF(AND(AN77=1,SUM($AJ77:$AO77)=6),$M77/6,IF(AND(AN77=1,SUM($AJ77:$AO77)=5),$M77/5,IF(AND(AN77=1,SUM($AJ77:$AO77)=4),$M77/4,IF(AND(AN77=1,SUM($AJ77:$AO77)=3),$M77/3,IF(AND(AN77=1,SUM($AJ77:$AO77)=2),$M77/2,IF(AND(AN77=1,SUM($AJ77:$AO77)=1),$M77,0))))))</f>
        <v>0</v>
      </c>
      <c r="AU77" s="28" t="n">
        <f aca="false">IF(AND(AO77=1,SUM($AJ77:$AO77)=6),$M77/6,IF(AND(AO77=1,SUM($AJ77:$AO77)=5),$M77/5,IF(AND(AO77=1,SUM($AJ77:$AO77)=4),$M77/4,IF(AND(AO77=1,SUM($AJ77:$AO77)=3),$M77/3,IF(AND(AO77=1,SUM($AJ77:$AO77)=2),$M77/2,IF(AND(AO77=1,SUM($AJ77:$AO77)=1),$M77,0))))))</f>
        <v>0</v>
      </c>
      <c r="AV77" s="29" t="s">
        <v>117</v>
      </c>
      <c r="AW77" s="29"/>
      <c r="AX77" s="29" t="s">
        <v>114</v>
      </c>
      <c r="AY77" s="30"/>
      <c r="AZ77" s="29" t="s">
        <v>114</v>
      </c>
      <c r="BA77" s="30"/>
      <c r="BB77" s="29" t="s">
        <v>114</v>
      </c>
      <c r="BC77" s="30"/>
      <c r="BD77" s="29" t="s">
        <v>114</v>
      </c>
      <c r="BE77" s="30"/>
      <c r="BF77" s="29" t="s">
        <v>114</v>
      </c>
      <c r="BG77" s="30" t="s">
        <v>119</v>
      </c>
    </row>
    <row r="78" customFormat="false" ht="39.55" hidden="false" customHeight="false" outlineLevel="0" collapsed="false">
      <c r="A78" s="20" t="n">
        <v>76</v>
      </c>
      <c r="B78" s="20" t="s">
        <v>21</v>
      </c>
      <c r="C78" s="32" t="s">
        <v>127</v>
      </c>
      <c r="D78" s="32" t="s">
        <v>492</v>
      </c>
      <c r="E78" s="32" t="s">
        <v>45</v>
      </c>
      <c r="F78" s="21" t="s">
        <v>4</v>
      </c>
      <c r="G78" s="21" t="s">
        <v>109</v>
      </c>
      <c r="H78" s="21" t="s">
        <v>283</v>
      </c>
      <c r="I78" s="22" t="s">
        <v>111</v>
      </c>
      <c r="J78" s="22" t="s">
        <v>18</v>
      </c>
      <c r="K78" s="23" t="s">
        <v>16</v>
      </c>
      <c r="L78" s="24" t="n">
        <f aca="false">M78*3600</f>
        <v>3735000000</v>
      </c>
      <c r="M78" s="25" t="n">
        <v>1037500</v>
      </c>
      <c r="N78" s="50" t="s">
        <v>491</v>
      </c>
      <c r="O78" s="31" t="n">
        <v>44013</v>
      </c>
      <c r="P78" s="21" t="s">
        <v>385</v>
      </c>
      <c r="Q78" s="21"/>
      <c r="R78" s="26"/>
      <c r="S78" s="26"/>
      <c r="T78" s="26"/>
      <c r="U78" s="26"/>
      <c r="V78" s="26"/>
      <c r="W78" s="26"/>
      <c r="X78" s="27" t="n">
        <v>1</v>
      </c>
      <c r="Y78" s="26"/>
      <c r="Z78" s="26"/>
      <c r="AA78" s="26"/>
      <c r="AB78" s="26"/>
      <c r="AC78" s="26"/>
      <c r="AD78" s="26"/>
      <c r="AE78" s="26"/>
      <c r="AF78" s="26"/>
      <c r="AG78" s="26"/>
      <c r="AH78" s="26"/>
      <c r="AI78" s="26"/>
      <c r="AJ78" s="22" t="n">
        <f aca="false">IF(SUM(R78:T78)&gt;0,1,0)</f>
        <v>0</v>
      </c>
      <c r="AK78" s="22" t="n">
        <f aca="false">IF(SUM(U78:W78)&gt;0,1,0)</f>
        <v>0</v>
      </c>
      <c r="AL78" s="22" t="n">
        <f aca="false">IF(SUM(X78:Z78)&gt;0,1,0)</f>
        <v>1</v>
      </c>
      <c r="AM78" s="22" t="n">
        <f aca="false">IF(SUM(AA78:AC78)&gt;0,1,0)</f>
        <v>0</v>
      </c>
      <c r="AN78" s="22" t="n">
        <f aca="false">IF(SUM(AD78:AF78)&gt;0,1,0)</f>
        <v>0</v>
      </c>
      <c r="AO78" s="22" t="n">
        <f aca="false">IF(SUM(AG78:AI78)&gt;0,1,0)</f>
        <v>0</v>
      </c>
      <c r="AP78" s="28" t="n">
        <f aca="false">IF(AND(AJ78=1,SUM($AJ78:$AO78)=6),$M78/6,IF(AND(AJ78=1,SUM($AJ78:$AO78)=5),$M78/5,IF(AND(AJ78=1,SUM($AJ78:$AO78)=4),$M78/4,IF(AND(AJ78=1,SUM($AJ78:$AO78)=3),$M78/3,IF(AND(AJ78=1,SUM($AJ78:$AO78)=2),$M78/2,IF(AND(AJ78=1,SUM($AJ78:$AO78)=1),$M78,0))))))</f>
        <v>0</v>
      </c>
      <c r="AQ78" s="28" t="n">
        <f aca="false">IF(AND(AK78=1,SUM($AJ78:$AO78)=6),$M78/6,IF(AND(AK78=1,SUM($AJ78:$AO78)=5),$M78/5,IF(AND(AK78=1,SUM($AJ78:$AO78)=4),$M78/4,IF(AND(AK78=1,SUM($AJ78:$AO78)=3),$M78/3,IF(AND(AK78=1,SUM($AJ78:$AO78)=2),$M78/2,IF(AND(AK78=1,SUM($AJ78:$AO78)=1),$M78,0))))))</f>
        <v>0</v>
      </c>
      <c r="AR78" s="28" t="n">
        <f aca="false">IF(AND(AL78=1,SUM($AJ78:$AO78)=6),$M78/6,IF(AND(AL78=1,SUM($AJ78:$AO78)=5),$M78/5,IF(AND(AL78=1,SUM($AJ78:$AO78)=4),$M78/4,IF(AND(AL78=1,SUM($AJ78:$AO78)=3),$M78/3,IF(AND(AL78=1,SUM($AJ78:$AO78)=2),$M78/2,IF(AND(AL78=1,SUM($AJ78:$AO78)=1),$M78,0))))))</f>
        <v>1037500</v>
      </c>
      <c r="AS78" s="28" t="n">
        <f aca="false">IF(AND(AM78=1,SUM($AJ78:$AO78)=6),$M78/6,IF(AND(AM78=1,SUM($AJ78:$AO78)=5),$M78/5,IF(AND(AM78=1,SUM($AJ78:$AO78)=4),$M78/4,IF(AND(AM78=1,SUM($AJ78:$AO78)=3),$M78/3,IF(AND(AM78=1,SUM($AJ78:$AO78)=2),$M78/2,IF(AND(AM78=1,SUM($AJ78:$AO78)=1),$M78,0))))))</f>
        <v>0</v>
      </c>
      <c r="AT78" s="28" t="n">
        <f aca="false">IF(AND(AN78=1,SUM($AJ78:$AO78)=6),$M78/6,IF(AND(AN78=1,SUM($AJ78:$AO78)=5),$M78/5,IF(AND(AN78=1,SUM($AJ78:$AO78)=4),$M78/4,IF(AND(AN78=1,SUM($AJ78:$AO78)=3),$M78/3,IF(AND(AN78=1,SUM($AJ78:$AO78)=2),$M78/2,IF(AND(AN78=1,SUM($AJ78:$AO78)=1),$M78,0))))))</f>
        <v>0</v>
      </c>
      <c r="AU78" s="28" t="n">
        <f aca="false">IF(AND(AO78=1,SUM($AJ78:$AO78)=6),$M78/6,IF(AND(AO78=1,SUM($AJ78:$AO78)=5),$M78/5,IF(AND(AO78=1,SUM($AJ78:$AO78)=4),$M78/4,IF(AND(AO78=1,SUM($AJ78:$AO78)=3),$M78/3,IF(AND(AO78=1,SUM($AJ78:$AO78)=2),$M78/2,IF(AND(AO78=1,SUM($AJ78:$AO78)=1),$M78,0))))))</f>
        <v>0</v>
      </c>
      <c r="AV78" s="29" t="s">
        <v>117</v>
      </c>
      <c r="AW78" s="29"/>
      <c r="AX78" s="29" t="s">
        <v>114</v>
      </c>
      <c r="AY78" s="30"/>
      <c r="AZ78" s="29" t="s">
        <v>114</v>
      </c>
      <c r="BA78" s="30"/>
      <c r="BB78" s="29" t="s">
        <v>114</v>
      </c>
      <c r="BC78" s="30"/>
      <c r="BD78" s="29" t="s">
        <v>114</v>
      </c>
      <c r="BE78" s="30"/>
      <c r="BF78" s="29" t="s">
        <v>114</v>
      </c>
      <c r="BG78" s="30" t="s">
        <v>119</v>
      </c>
    </row>
    <row r="79" customFormat="false" ht="39.55" hidden="false" customHeight="false" outlineLevel="0" collapsed="false">
      <c r="A79" s="20" t="n">
        <v>77</v>
      </c>
      <c r="B79" s="20" t="s">
        <v>21</v>
      </c>
      <c r="C79" s="20" t="s">
        <v>383</v>
      </c>
      <c r="D79" s="32" t="s">
        <v>493</v>
      </c>
      <c r="E79" s="51" t="s">
        <v>45</v>
      </c>
      <c r="F79" s="52" t="s">
        <v>4</v>
      </c>
      <c r="G79" s="52" t="s">
        <v>109</v>
      </c>
      <c r="H79" s="21" t="s">
        <v>283</v>
      </c>
      <c r="I79" s="22" t="s">
        <v>111</v>
      </c>
      <c r="J79" s="22" t="s">
        <v>18</v>
      </c>
      <c r="K79" s="23" t="s">
        <v>122</v>
      </c>
      <c r="L79" s="24" t="n">
        <f aca="false">M79*3600</f>
        <v>3736800000</v>
      </c>
      <c r="M79" s="25" t="n">
        <v>1038000</v>
      </c>
      <c r="N79" s="50" t="s">
        <v>494</v>
      </c>
      <c r="O79" s="31" t="n">
        <v>43891</v>
      </c>
      <c r="P79" s="21" t="s">
        <v>385</v>
      </c>
      <c r="Q79" s="21"/>
      <c r="R79" s="26"/>
      <c r="S79" s="26"/>
      <c r="T79" s="27" t="n">
        <v>1</v>
      </c>
      <c r="U79" s="26"/>
      <c r="V79" s="26"/>
      <c r="W79" s="26"/>
      <c r="X79" s="26"/>
      <c r="Y79" s="26"/>
      <c r="Z79" s="26"/>
      <c r="AA79" s="26"/>
      <c r="AB79" s="26"/>
      <c r="AC79" s="26"/>
      <c r="AD79" s="26"/>
      <c r="AE79" s="26"/>
      <c r="AF79" s="26"/>
      <c r="AG79" s="26"/>
      <c r="AH79" s="26"/>
      <c r="AI79" s="26"/>
      <c r="AJ79" s="22" t="n">
        <f aca="false">IF(SUM(R79:T79)&gt;0,1,0)</f>
        <v>1</v>
      </c>
      <c r="AK79" s="22" t="n">
        <f aca="false">IF(SUM(U79:W79)&gt;0,1,0)</f>
        <v>0</v>
      </c>
      <c r="AL79" s="22" t="n">
        <f aca="false">IF(SUM(X79:Z79)&gt;0,1,0)</f>
        <v>0</v>
      </c>
      <c r="AM79" s="22" t="n">
        <f aca="false">IF(SUM(AA79:AC79)&gt;0,1,0)</f>
        <v>0</v>
      </c>
      <c r="AN79" s="22" t="n">
        <f aca="false">IF(SUM(AD79:AF79)&gt;0,1,0)</f>
        <v>0</v>
      </c>
      <c r="AO79" s="22" t="n">
        <f aca="false">IF(SUM(AG79:AI79)&gt;0,1,0)</f>
        <v>0</v>
      </c>
      <c r="AP79" s="28" t="n">
        <f aca="false">IF(AND(AJ79=1,SUM($AJ79:$AO79)=6),$M79/6,IF(AND(AJ79=1,SUM($AJ79:$AO79)=5),$M79/5,IF(AND(AJ79=1,SUM($AJ79:$AO79)=4),$M79/4,IF(AND(AJ79=1,SUM($AJ79:$AO79)=3),$M79/3,IF(AND(AJ79=1,SUM($AJ79:$AO79)=2),$M79/2,IF(AND(AJ79=1,SUM($AJ79:$AO79)=1),$M79,0))))))</f>
        <v>1038000</v>
      </c>
      <c r="AQ79" s="28" t="n">
        <f aca="false">IF(AND(AK79=1,SUM($AJ79:$AO79)=6),$M79/6,IF(AND(AK79=1,SUM($AJ79:$AO79)=5),$M79/5,IF(AND(AK79=1,SUM($AJ79:$AO79)=4),$M79/4,IF(AND(AK79=1,SUM($AJ79:$AO79)=3),$M79/3,IF(AND(AK79=1,SUM($AJ79:$AO79)=2),$M79/2,IF(AND(AK79=1,SUM($AJ79:$AO79)=1),$M79,0))))))</f>
        <v>0</v>
      </c>
      <c r="AR79" s="28" t="n">
        <f aca="false">IF(AND(AL79=1,SUM($AJ79:$AO79)=6),$M79/6,IF(AND(AL79=1,SUM($AJ79:$AO79)=5),$M79/5,IF(AND(AL79=1,SUM($AJ79:$AO79)=4),$M79/4,IF(AND(AL79=1,SUM($AJ79:$AO79)=3),$M79/3,IF(AND(AL79=1,SUM($AJ79:$AO79)=2),$M79/2,IF(AND(AL79=1,SUM($AJ79:$AO79)=1),$M79,0))))))</f>
        <v>0</v>
      </c>
      <c r="AS79" s="28" t="n">
        <f aca="false">IF(AND(AM79=1,SUM($AJ79:$AO79)=6),$M79/6,IF(AND(AM79=1,SUM($AJ79:$AO79)=5),$M79/5,IF(AND(AM79=1,SUM($AJ79:$AO79)=4),$M79/4,IF(AND(AM79=1,SUM($AJ79:$AO79)=3),$M79/3,IF(AND(AM79=1,SUM($AJ79:$AO79)=2),$M79/2,IF(AND(AM79=1,SUM($AJ79:$AO79)=1),$M79,0))))))</f>
        <v>0</v>
      </c>
      <c r="AT79" s="28" t="n">
        <f aca="false">IF(AND(AN79=1,SUM($AJ79:$AO79)=6),$M79/6,IF(AND(AN79=1,SUM($AJ79:$AO79)=5),$M79/5,IF(AND(AN79=1,SUM($AJ79:$AO79)=4),$M79/4,IF(AND(AN79=1,SUM($AJ79:$AO79)=3),$M79/3,IF(AND(AN79=1,SUM($AJ79:$AO79)=2),$M79/2,IF(AND(AN79=1,SUM($AJ79:$AO79)=1),$M79,0))))))</f>
        <v>0</v>
      </c>
      <c r="AU79" s="28" t="n">
        <f aca="false">IF(AND(AO79=1,SUM($AJ79:$AO79)=6),$M79/6,IF(AND(AO79=1,SUM($AJ79:$AO79)=5),$M79/5,IF(AND(AO79=1,SUM($AJ79:$AO79)=4),$M79/4,IF(AND(AO79=1,SUM($AJ79:$AO79)=3),$M79/3,IF(AND(AO79=1,SUM($AJ79:$AO79)=2),$M79/2,IF(AND(AO79=1,SUM($AJ79:$AO79)=1),$M79,0))))))</f>
        <v>0</v>
      </c>
      <c r="AV79" s="29" t="s">
        <v>116</v>
      </c>
      <c r="AW79" s="29"/>
      <c r="AX79" s="29" t="s">
        <v>117</v>
      </c>
      <c r="AY79" s="30"/>
      <c r="AZ79" s="26" t="s">
        <v>116</v>
      </c>
      <c r="BA79" s="30"/>
      <c r="BB79" s="26" t="s">
        <v>116</v>
      </c>
      <c r="BC79" s="30"/>
      <c r="BD79" s="29" t="s">
        <v>114</v>
      </c>
      <c r="BE79" s="30"/>
      <c r="BF79" s="29" t="s">
        <v>114</v>
      </c>
      <c r="BG79" s="30" t="s">
        <v>119</v>
      </c>
    </row>
    <row r="80" customFormat="false" ht="39.55" hidden="false" customHeight="false" outlineLevel="0" collapsed="false">
      <c r="A80" s="20" t="n">
        <v>78</v>
      </c>
      <c r="B80" s="20" t="s">
        <v>21</v>
      </c>
      <c r="C80" s="20" t="s">
        <v>383</v>
      </c>
      <c r="D80" s="32" t="s">
        <v>495</v>
      </c>
      <c r="E80" s="36" t="s">
        <v>45</v>
      </c>
      <c r="F80" s="21" t="s">
        <v>4</v>
      </c>
      <c r="G80" s="21" t="s">
        <v>109</v>
      </c>
      <c r="H80" s="21" t="s">
        <v>283</v>
      </c>
      <c r="I80" s="22" t="s">
        <v>111</v>
      </c>
      <c r="J80" s="22" t="s">
        <v>18</v>
      </c>
      <c r="K80" s="23" t="s">
        <v>130</v>
      </c>
      <c r="L80" s="24" t="n">
        <f aca="false">M80*3600</f>
        <v>3738600000</v>
      </c>
      <c r="M80" s="25" t="n">
        <v>1038500</v>
      </c>
      <c r="N80" s="44"/>
      <c r="O80" s="21" t="s">
        <v>278</v>
      </c>
      <c r="P80" s="21" t="s">
        <v>385</v>
      </c>
      <c r="Q80" s="44"/>
      <c r="R80" s="26" t="n">
        <v>1</v>
      </c>
      <c r="S80" s="26" t="n">
        <v>1</v>
      </c>
      <c r="T80" s="26" t="n">
        <v>1</v>
      </c>
      <c r="U80" s="26" t="n">
        <v>1</v>
      </c>
      <c r="V80" s="26" t="n">
        <v>1</v>
      </c>
      <c r="W80" s="26" t="n">
        <v>1</v>
      </c>
      <c r="X80" s="26"/>
      <c r="Y80" s="26"/>
      <c r="Z80" s="26"/>
      <c r="AA80" s="26"/>
      <c r="AB80" s="26"/>
      <c r="AC80" s="26"/>
      <c r="AD80" s="26"/>
      <c r="AE80" s="26"/>
      <c r="AF80" s="26"/>
      <c r="AG80" s="26"/>
      <c r="AH80" s="26"/>
      <c r="AI80" s="26"/>
      <c r="AJ80" s="22" t="n">
        <f aca="false">IF(SUM(R80:T80)&gt;0,1,0)</f>
        <v>1</v>
      </c>
      <c r="AK80" s="22" t="n">
        <f aca="false">IF(SUM(U80:W80)&gt;0,1,0)</f>
        <v>1</v>
      </c>
      <c r="AL80" s="22" t="n">
        <f aca="false">IF(SUM(X80:Z80)&gt;0,1,0)</f>
        <v>0</v>
      </c>
      <c r="AM80" s="22" t="n">
        <f aca="false">IF(SUM(AA80:AC80)&gt;0,1,0)</f>
        <v>0</v>
      </c>
      <c r="AN80" s="22" t="n">
        <f aca="false">IF(SUM(AD80:AF80)&gt;0,1,0)</f>
        <v>0</v>
      </c>
      <c r="AO80" s="22" t="n">
        <f aca="false">IF(SUM(AG80:AI80)&gt;0,1,0)</f>
        <v>0</v>
      </c>
      <c r="AP80" s="28" t="n">
        <f aca="false">IF(AND(AJ80=1,SUM($AJ80:$AO80)=6),$M80/6,IF(AND(AJ80=1,SUM($AJ80:$AO80)=5),$M80/5,IF(AND(AJ80=1,SUM($AJ80:$AO80)=4),$M80/4,IF(AND(AJ80=1,SUM($AJ80:$AO80)=3),$M80/3,IF(AND(AJ80=1,SUM($AJ80:$AO80)=2),$M80/2,IF(AND(AJ80=1,SUM($AJ80:$AO80)=1),$M80,0))))))</f>
        <v>519250</v>
      </c>
      <c r="AQ80" s="28" t="n">
        <f aca="false">IF(AND(AK80=1,SUM($AJ80:$AO80)=6),$M80/6,IF(AND(AK80=1,SUM($AJ80:$AO80)=5),$M80/5,IF(AND(AK80=1,SUM($AJ80:$AO80)=4),$M80/4,IF(AND(AK80=1,SUM($AJ80:$AO80)=3),$M80/3,IF(AND(AK80=1,SUM($AJ80:$AO80)=2),$M80/2,IF(AND(AK80=1,SUM($AJ80:$AO80)=1),$M80,0))))))</f>
        <v>519250</v>
      </c>
      <c r="AR80" s="28" t="n">
        <f aca="false">IF(AND(AL80=1,SUM($AJ80:$AO80)=6),$M80/6,IF(AND(AL80=1,SUM($AJ80:$AO80)=5),$M80/5,IF(AND(AL80=1,SUM($AJ80:$AO80)=4),$M80/4,IF(AND(AL80=1,SUM($AJ80:$AO80)=3),$M80/3,IF(AND(AL80=1,SUM($AJ80:$AO80)=2),$M80/2,IF(AND(AL80=1,SUM($AJ80:$AO80)=1),$M80,0))))))</f>
        <v>0</v>
      </c>
      <c r="AS80" s="28" t="n">
        <f aca="false">IF(AND(AM80=1,SUM($AJ80:$AO80)=6),$M80/6,IF(AND(AM80=1,SUM($AJ80:$AO80)=5),$M80/5,IF(AND(AM80=1,SUM($AJ80:$AO80)=4),$M80/4,IF(AND(AM80=1,SUM($AJ80:$AO80)=3),$M80/3,IF(AND(AM80=1,SUM($AJ80:$AO80)=2),$M80/2,IF(AND(AM80=1,SUM($AJ80:$AO80)=1),$M80,0))))))</f>
        <v>0</v>
      </c>
      <c r="AT80" s="28" t="n">
        <f aca="false">IF(AND(AN80=1,SUM($AJ80:$AO80)=6),$M80/6,IF(AND(AN80=1,SUM($AJ80:$AO80)=5),$M80/5,IF(AND(AN80=1,SUM($AJ80:$AO80)=4),$M80/4,IF(AND(AN80=1,SUM($AJ80:$AO80)=3),$M80/3,IF(AND(AN80=1,SUM($AJ80:$AO80)=2),$M80/2,IF(AND(AN80=1,SUM($AJ80:$AO80)=1),$M80,0))))))</f>
        <v>0</v>
      </c>
      <c r="AU80" s="28" t="n">
        <f aca="false">IF(AND(AO80=1,SUM($AJ80:$AO80)=6),$M80/6,IF(AND(AO80=1,SUM($AJ80:$AO80)=5),$M80/5,IF(AND(AO80=1,SUM($AJ80:$AO80)=4),$M80/4,IF(AND(AO80=1,SUM($AJ80:$AO80)=3),$M80/3,IF(AND(AO80=1,SUM($AJ80:$AO80)=2),$M80/2,IF(AND(AO80=1,SUM($AJ80:$AO80)=1),$M80,0))))))</f>
        <v>0</v>
      </c>
      <c r="AV80" s="29" t="s">
        <v>116</v>
      </c>
      <c r="AW80" s="26"/>
      <c r="AX80" s="29" t="s">
        <v>117</v>
      </c>
      <c r="AY80" s="26"/>
      <c r="AZ80" s="26" t="s">
        <v>116</v>
      </c>
      <c r="BA80" s="26"/>
      <c r="BB80" s="29" t="s">
        <v>114</v>
      </c>
      <c r="BC80" s="26"/>
      <c r="BD80" s="29" t="s">
        <v>117</v>
      </c>
      <c r="BE80" s="26"/>
      <c r="BF80" s="29" t="s">
        <v>114</v>
      </c>
      <c r="BG80" s="30" t="s">
        <v>119</v>
      </c>
    </row>
    <row r="81" customFormat="false" ht="39.55" hidden="false" customHeight="false" outlineLevel="0" collapsed="false">
      <c r="A81" s="20" t="n">
        <v>79</v>
      </c>
      <c r="B81" s="20" t="s">
        <v>21</v>
      </c>
      <c r="C81" s="20" t="s">
        <v>383</v>
      </c>
      <c r="D81" s="32" t="s">
        <v>496</v>
      </c>
      <c r="E81" s="36" t="s">
        <v>45</v>
      </c>
      <c r="F81" s="21" t="s">
        <v>4</v>
      </c>
      <c r="G81" s="21" t="s">
        <v>109</v>
      </c>
      <c r="H81" s="21" t="s">
        <v>283</v>
      </c>
      <c r="I81" s="22" t="s">
        <v>111</v>
      </c>
      <c r="J81" s="22" t="s">
        <v>18</v>
      </c>
      <c r="K81" s="23" t="s">
        <v>16</v>
      </c>
      <c r="L81" s="24" t="n">
        <f aca="false">M81*3600</f>
        <v>3740400000</v>
      </c>
      <c r="M81" s="25" t="n">
        <v>1039000</v>
      </c>
      <c r="N81" s="44"/>
      <c r="O81" s="21" t="s">
        <v>278</v>
      </c>
      <c r="P81" s="21" t="s">
        <v>385</v>
      </c>
      <c r="Q81" s="36"/>
      <c r="R81" s="26" t="n">
        <v>1</v>
      </c>
      <c r="S81" s="26" t="n">
        <v>1</v>
      </c>
      <c r="T81" s="26" t="n">
        <v>1</v>
      </c>
      <c r="U81" s="26" t="n">
        <v>1</v>
      </c>
      <c r="V81" s="26" t="n">
        <v>1</v>
      </c>
      <c r="W81" s="26" t="n">
        <v>1</v>
      </c>
      <c r="X81" s="26"/>
      <c r="Y81" s="26"/>
      <c r="Z81" s="26"/>
      <c r="AA81" s="26"/>
      <c r="AB81" s="26"/>
      <c r="AC81" s="26"/>
      <c r="AD81" s="26"/>
      <c r="AE81" s="26"/>
      <c r="AF81" s="26"/>
      <c r="AG81" s="26"/>
      <c r="AH81" s="26"/>
      <c r="AI81" s="26"/>
      <c r="AJ81" s="22" t="n">
        <f aca="false">IF(SUM(R81:T81)&gt;0,1,0)</f>
        <v>1</v>
      </c>
      <c r="AK81" s="22" t="n">
        <f aca="false">IF(SUM(U81:W81)&gt;0,1,0)</f>
        <v>1</v>
      </c>
      <c r="AL81" s="22" t="n">
        <f aca="false">IF(SUM(X81:Z81)&gt;0,1,0)</f>
        <v>0</v>
      </c>
      <c r="AM81" s="22" t="n">
        <f aca="false">IF(SUM(AA81:AC81)&gt;0,1,0)</f>
        <v>0</v>
      </c>
      <c r="AN81" s="22" t="n">
        <f aca="false">IF(SUM(AD81:AF81)&gt;0,1,0)</f>
        <v>0</v>
      </c>
      <c r="AO81" s="22" t="n">
        <f aca="false">IF(SUM(AG81:AI81)&gt;0,1,0)</f>
        <v>0</v>
      </c>
      <c r="AP81" s="28" t="n">
        <f aca="false">IF(AND(AJ81=1,SUM($AJ81:$AO81)=6),$M81/6,IF(AND(AJ81=1,SUM($AJ81:$AO81)=5),$M81/5,IF(AND(AJ81=1,SUM($AJ81:$AO81)=4),$M81/4,IF(AND(AJ81=1,SUM($AJ81:$AO81)=3),$M81/3,IF(AND(AJ81=1,SUM($AJ81:$AO81)=2),$M81/2,IF(AND(AJ81=1,SUM($AJ81:$AO81)=1),$M81,0))))))</f>
        <v>519500</v>
      </c>
      <c r="AQ81" s="28" t="n">
        <f aca="false">IF(AND(AK81=1,SUM($AJ81:$AO81)=6),$M81/6,IF(AND(AK81=1,SUM($AJ81:$AO81)=5),$M81/5,IF(AND(AK81=1,SUM($AJ81:$AO81)=4),$M81/4,IF(AND(AK81=1,SUM($AJ81:$AO81)=3),$M81/3,IF(AND(AK81=1,SUM($AJ81:$AO81)=2),$M81/2,IF(AND(AK81=1,SUM($AJ81:$AO81)=1),$M81,0))))))</f>
        <v>519500</v>
      </c>
      <c r="AR81" s="28" t="n">
        <f aca="false">IF(AND(AL81=1,SUM($AJ81:$AO81)=6),$M81/6,IF(AND(AL81=1,SUM($AJ81:$AO81)=5),$M81/5,IF(AND(AL81=1,SUM($AJ81:$AO81)=4),$M81/4,IF(AND(AL81=1,SUM($AJ81:$AO81)=3),$M81/3,IF(AND(AL81=1,SUM($AJ81:$AO81)=2),$M81/2,IF(AND(AL81=1,SUM($AJ81:$AO81)=1),$M81,0))))))</f>
        <v>0</v>
      </c>
      <c r="AS81" s="28" t="n">
        <f aca="false">IF(AND(AM81=1,SUM($AJ81:$AO81)=6),$M81/6,IF(AND(AM81=1,SUM($AJ81:$AO81)=5),$M81/5,IF(AND(AM81=1,SUM($AJ81:$AO81)=4),$M81/4,IF(AND(AM81=1,SUM($AJ81:$AO81)=3),$M81/3,IF(AND(AM81=1,SUM($AJ81:$AO81)=2),$M81/2,IF(AND(AM81=1,SUM($AJ81:$AO81)=1),$M81,0))))))</f>
        <v>0</v>
      </c>
      <c r="AT81" s="28" t="n">
        <f aca="false">IF(AND(AN81=1,SUM($AJ81:$AO81)=6),$M81/6,IF(AND(AN81=1,SUM($AJ81:$AO81)=5),$M81/5,IF(AND(AN81=1,SUM($AJ81:$AO81)=4),$M81/4,IF(AND(AN81=1,SUM($AJ81:$AO81)=3),$M81/3,IF(AND(AN81=1,SUM($AJ81:$AO81)=2),$M81/2,IF(AND(AN81=1,SUM($AJ81:$AO81)=1),$M81,0))))))</f>
        <v>0</v>
      </c>
      <c r="AU81" s="28" t="n">
        <f aca="false">IF(AND(AO81=1,SUM($AJ81:$AO81)=6),$M81/6,IF(AND(AO81=1,SUM($AJ81:$AO81)=5),$M81/5,IF(AND(AO81=1,SUM($AJ81:$AO81)=4),$M81/4,IF(AND(AO81=1,SUM($AJ81:$AO81)=3),$M81/3,IF(AND(AO81=1,SUM($AJ81:$AO81)=2),$M81/2,IF(AND(AO81=1,SUM($AJ81:$AO81)=1),$M81,0))))))</f>
        <v>0</v>
      </c>
      <c r="AV81" s="29" t="s">
        <v>116</v>
      </c>
      <c r="AW81" s="26"/>
      <c r="AX81" s="29" t="s">
        <v>117</v>
      </c>
      <c r="AY81" s="26"/>
      <c r="AZ81" s="26" t="s">
        <v>116</v>
      </c>
      <c r="BA81" s="26"/>
      <c r="BB81" s="29" t="s">
        <v>114</v>
      </c>
      <c r="BC81" s="26"/>
      <c r="BD81" s="29" t="s">
        <v>117</v>
      </c>
      <c r="BE81" s="26"/>
      <c r="BF81" s="29" t="s">
        <v>114</v>
      </c>
      <c r="BG81" s="30" t="s">
        <v>119</v>
      </c>
    </row>
    <row r="82" customFormat="false" ht="41.75" hidden="false" customHeight="false" outlineLevel="0" collapsed="false">
      <c r="A82" s="20" t="n">
        <v>80</v>
      </c>
      <c r="B82" s="20" t="s">
        <v>21</v>
      </c>
      <c r="C82" s="20" t="s">
        <v>383</v>
      </c>
      <c r="D82" s="36" t="s">
        <v>497</v>
      </c>
      <c r="E82" s="36" t="s">
        <v>46</v>
      </c>
      <c r="F82" s="21" t="s">
        <v>4</v>
      </c>
      <c r="G82" s="21" t="s">
        <v>109</v>
      </c>
      <c r="H82" s="36" t="s">
        <v>389</v>
      </c>
      <c r="I82" s="22" t="s">
        <v>111</v>
      </c>
      <c r="J82" s="22" t="s">
        <v>18</v>
      </c>
      <c r="K82" s="23" t="s">
        <v>122</v>
      </c>
      <c r="L82" s="24" t="n">
        <f aca="false">M82*3600</f>
        <v>3742200000</v>
      </c>
      <c r="M82" s="25" t="n">
        <v>1039500</v>
      </c>
      <c r="N82" s="44"/>
      <c r="O82" s="21" t="s">
        <v>152</v>
      </c>
      <c r="P82" s="21" t="s">
        <v>385</v>
      </c>
      <c r="Q82" s="36"/>
      <c r="R82" s="26"/>
      <c r="S82" s="26"/>
      <c r="T82" s="26"/>
      <c r="U82" s="26"/>
      <c r="V82" s="26"/>
      <c r="W82" s="26"/>
      <c r="X82" s="26"/>
      <c r="Y82" s="26"/>
      <c r="Z82" s="26"/>
      <c r="AA82" s="26" t="n">
        <v>1</v>
      </c>
      <c r="AB82" s="26" t="n">
        <v>1</v>
      </c>
      <c r="AC82" s="26" t="n">
        <v>1</v>
      </c>
      <c r="AD82" s="26"/>
      <c r="AE82" s="26"/>
      <c r="AF82" s="26"/>
      <c r="AG82" s="26"/>
      <c r="AH82" s="26"/>
      <c r="AI82" s="26"/>
      <c r="AJ82" s="22" t="n">
        <f aca="false">IF(SUM(R82:T82)&gt;0,1,0)</f>
        <v>0</v>
      </c>
      <c r="AK82" s="22" t="n">
        <f aca="false">IF(SUM(U82:W82)&gt;0,1,0)</f>
        <v>0</v>
      </c>
      <c r="AL82" s="22" t="n">
        <f aca="false">IF(SUM(X82:Z82)&gt;0,1,0)</f>
        <v>0</v>
      </c>
      <c r="AM82" s="22" t="n">
        <f aca="false">IF(SUM(AA82:AC82)&gt;0,1,0)</f>
        <v>1</v>
      </c>
      <c r="AN82" s="22" t="n">
        <f aca="false">IF(SUM(AD82:AF82)&gt;0,1,0)</f>
        <v>0</v>
      </c>
      <c r="AO82" s="22" t="n">
        <f aca="false">IF(SUM(AG82:AI82)&gt;0,1,0)</f>
        <v>0</v>
      </c>
      <c r="AP82" s="28" t="n">
        <f aca="false">IF(AND(AJ82=1,SUM($AJ82:$AO82)=6),$M82/6,IF(AND(AJ82=1,SUM($AJ82:$AO82)=5),$M82/5,IF(AND(AJ82=1,SUM($AJ82:$AO82)=4),$M82/4,IF(AND(AJ82=1,SUM($AJ82:$AO82)=3),$M82/3,IF(AND(AJ82=1,SUM($AJ82:$AO82)=2),$M82/2,IF(AND(AJ82=1,SUM($AJ82:$AO82)=1),$M82,0))))))</f>
        <v>0</v>
      </c>
      <c r="AQ82" s="28" t="n">
        <f aca="false">IF(AND(AK82=1,SUM($AJ82:$AO82)=6),$M82/6,IF(AND(AK82=1,SUM($AJ82:$AO82)=5),$M82/5,IF(AND(AK82=1,SUM($AJ82:$AO82)=4),$M82/4,IF(AND(AK82=1,SUM($AJ82:$AO82)=3),$M82/3,IF(AND(AK82=1,SUM($AJ82:$AO82)=2),$M82/2,IF(AND(AK82=1,SUM($AJ82:$AO82)=1),$M82,0))))))</f>
        <v>0</v>
      </c>
      <c r="AR82" s="28" t="n">
        <f aca="false">IF(AND(AL82=1,SUM($AJ82:$AO82)=6),$M82/6,IF(AND(AL82=1,SUM($AJ82:$AO82)=5),$M82/5,IF(AND(AL82=1,SUM($AJ82:$AO82)=4),$M82/4,IF(AND(AL82=1,SUM($AJ82:$AO82)=3),$M82/3,IF(AND(AL82=1,SUM($AJ82:$AO82)=2),$M82/2,IF(AND(AL82=1,SUM($AJ82:$AO82)=1),$M82,0))))))</f>
        <v>0</v>
      </c>
      <c r="AS82" s="28" t="n">
        <f aca="false">IF(AND(AM82=1,SUM($AJ82:$AO82)=6),$M82/6,IF(AND(AM82=1,SUM($AJ82:$AO82)=5),$M82/5,IF(AND(AM82=1,SUM($AJ82:$AO82)=4),$M82/4,IF(AND(AM82=1,SUM($AJ82:$AO82)=3),$M82/3,IF(AND(AM82=1,SUM($AJ82:$AO82)=2),$M82/2,IF(AND(AM82=1,SUM($AJ82:$AO82)=1),$M82,0))))))</f>
        <v>1039500</v>
      </c>
      <c r="AT82" s="28" t="n">
        <f aca="false">IF(AND(AN82=1,SUM($AJ82:$AO82)=6),$M82/6,IF(AND(AN82=1,SUM($AJ82:$AO82)=5),$M82/5,IF(AND(AN82=1,SUM($AJ82:$AO82)=4),$M82/4,IF(AND(AN82=1,SUM($AJ82:$AO82)=3),$M82/3,IF(AND(AN82=1,SUM($AJ82:$AO82)=2),$M82/2,IF(AND(AN82=1,SUM($AJ82:$AO82)=1),$M82,0))))))</f>
        <v>0</v>
      </c>
      <c r="AU82" s="28" t="n">
        <f aca="false">IF(AND(AO82=1,SUM($AJ82:$AO82)=6),$M82/6,IF(AND(AO82=1,SUM($AJ82:$AO82)=5),$M82/5,IF(AND(AO82=1,SUM($AJ82:$AO82)=4),$M82/4,IF(AND(AO82=1,SUM($AJ82:$AO82)=3),$M82/3,IF(AND(AO82=1,SUM($AJ82:$AO82)=2),$M82/2,IF(AND(AO82=1,SUM($AJ82:$AO82)=1),$M82,0))))))</f>
        <v>0</v>
      </c>
      <c r="AV82" s="29" t="s">
        <v>116</v>
      </c>
      <c r="AW82" s="26"/>
      <c r="AX82" s="29" t="s">
        <v>117</v>
      </c>
      <c r="AY82" s="26"/>
      <c r="AZ82" s="29" t="s">
        <v>114</v>
      </c>
      <c r="BA82" s="26"/>
      <c r="BB82" s="29" t="s">
        <v>117</v>
      </c>
      <c r="BC82" s="26"/>
      <c r="BD82" s="26" t="s">
        <v>116</v>
      </c>
      <c r="BE82" s="26"/>
      <c r="BF82" s="29" t="s">
        <v>117</v>
      </c>
      <c r="BG82" s="30" t="s">
        <v>119</v>
      </c>
    </row>
    <row r="83" customFormat="false" ht="39.55" hidden="false" customHeight="false" outlineLevel="0" collapsed="false">
      <c r="A83" s="20" t="n">
        <v>81</v>
      </c>
      <c r="B83" s="20" t="s">
        <v>21</v>
      </c>
      <c r="C83" s="20" t="s">
        <v>383</v>
      </c>
      <c r="D83" s="32" t="s">
        <v>498</v>
      </c>
      <c r="E83" s="36" t="s">
        <v>45</v>
      </c>
      <c r="F83" s="21" t="s">
        <v>4</v>
      </c>
      <c r="G83" s="21" t="s">
        <v>109</v>
      </c>
      <c r="H83" s="36" t="s">
        <v>389</v>
      </c>
      <c r="I83" s="22" t="s">
        <v>111</v>
      </c>
      <c r="J83" s="22" t="s">
        <v>18</v>
      </c>
      <c r="K83" s="23" t="s">
        <v>130</v>
      </c>
      <c r="L83" s="24" t="n">
        <f aca="false">M83*3600</f>
        <v>3744000000</v>
      </c>
      <c r="M83" s="25" t="n">
        <v>1040000</v>
      </c>
      <c r="N83" s="47"/>
      <c r="O83" s="21" t="s">
        <v>278</v>
      </c>
      <c r="P83" s="21" t="s">
        <v>385</v>
      </c>
      <c r="Q83" s="36"/>
      <c r="R83" s="26" t="n">
        <v>1</v>
      </c>
      <c r="S83" s="26" t="n">
        <v>1</v>
      </c>
      <c r="T83" s="26" t="n">
        <v>1</v>
      </c>
      <c r="U83" s="26" t="n">
        <v>1</v>
      </c>
      <c r="V83" s="26" t="n">
        <v>1</v>
      </c>
      <c r="W83" s="26" t="n">
        <v>1</v>
      </c>
      <c r="X83" s="26"/>
      <c r="Y83" s="26"/>
      <c r="Z83" s="26"/>
      <c r="AA83" s="26"/>
      <c r="AB83" s="26"/>
      <c r="AC83" s="26"/>
      <c r="AD83" s="26"/>
      <c r="AE83" s="26"/>
      <c r="AF83" s="26"/>
      <c r="AG83" s="26"/>
      <c r="AH83" s="26"/>
      <c r="AI83" s="26"/>
      <c r="AJ83" s="22" t="n">
        <f aca="false">IF(SUM(R83:T83)&gt;0,1,0)</f>
        <v>1</v>
      </c>
      <c r="AK83" s="22" t="n">
        <f aca="false">IF(SUM(U83:W83)&gt;0,1,0)</f>
        <v>1</v>
      </c>
      <c r="AL83" s="22" t="n">
        <f aca="false">IF(SUM(X83:Z83)&gt;0,1,0)</f>
        <v>0</v>
      </c>
      <c r="AM83" s="22" t="n">
        <f aca="false">IF(SUM(AA83:AC83)&gt;0,1,0)</f>
        <v>0</v>
      </c>
      <c r="AN83" s="22" t="n">
        <f aca="false">IF(SUM(AD83:AF83)&gt;0,1,0)</f>
        <v>0</v>
      </c>
      <c r="AO83" s="22" t="n">
        <f aca="false">IF(SUM(AG83:AI83)&gt;0,1,0)</f>
        <v>0</v>
      </c>
      <c r="AP83" s="28" t="n">
        <f aca="false">IF(AND(AJ83=1,SUM($AJ83:$AO83)=6),$M83/6,IF(AND(AJ83=1,SUM($AJ83:$AO83)=5),$M83/5,IF(AND(AJ83=1,SUM($AJ83:$AO83)=4),$M83/4,IF(AND(AJ83=1,SUM($AJ83:$AO83)=3),$M83/3,IF(AND(AJ83=1,SUM($AJ83:$AO83)=2),$M83/2,IF(AND(AJ83=1,SUM($AJ83:$AO83)=1),$M83,0))))))</f>
        <v>520000</v>
      </c>
      <c r="AQ83" s="28" t="n">
        <f aca="false">IF(AND(AK83=1,SUM($AJ83:$AO83)=6),$M83/6,IF(AND(AK83=1,SUM($AJ83:$AO83)=5),$M83/5,IF(AND(AK83=1,SUM($AJ83:$AO83)=4),$M83/4,IF(AND(AK83=1,SUM($AJ83:$AO83)=3),$M83/3,IF(AND(AK83=1,SUM($AJ83:$AO83)=2),$M83/2,IF(AND(AK83=1,SUM($AJ83:$AO83)=1),$M83,0))))))</f>
        <v>520000</v>
      </c>
      <c r="AR83" s="28" t="n">
        <f aca="false">IF(AND(AL83=1,SUM($AJ83:$AO83)=6),$M83/6,IF(AND(AL83=1,SUM($AJ83:$AO83)=5),$M83/5,IF(AND(AL83=1,SUM($AJ83:$AO83)=4),$M83/4,IF(AND(AL83=1,SUM($AJ83:$AO83)=3),$M83/3,IF(AND(AL83=1,SUM($AJ83:$AO83)=2),$M83/2,IF(AND(AL83=1,SUM($AJ83:$AO83)=1),$M83,0))))))</f>
        <v>0</v>
      </c>
      <c r="AS83" s="28" t="n">
        <f aca="false">IF(AND(AM83=1,SUM($AJ83:$AO83)=6),$M83/6,IF(AND(AM83=1,SUM($AJ83:$AO83)=5),$M83/5,IF(AND(AM83=1,SUM($AJ83:$AO83)=4),$M83/4,IF(AND(AM83=1,SUM($AJ83:$AO83)=3),$M83/3,IF(AND(AM83=1,SUM($AJ83:$AO83)=2),$M83/2,IF(AND(AM83=1,SUM($AJ83:$AO83)=1),$M83,0))))))</f>
        <v>0</v>
      </c>
      <c r="AT83" s="28" t="n">
        <f aca="false">IF(AND(AN83=1,SUM($AJ83:$AO83)=6),$M83/6,IF(AND(AN83=1,SUM($AJ83:$AO83)=5),$M83/5,IF(AND(AN83=1,SUM($AJ83:$AO83)=4),$M83/4,IF(AND(AN83=1,SUM($AJ83:$AO83)=3),$M83/3,IF(AND(AN83=1,SUM($AJ83:$AO83)=2),$M83/2,IF(AND(AN83=1,SUM($AJ83:$AO83)=1),$M83,0))))))</f>
        <v>0</v>
      </c>
      <c r="AU83" s="28" t="n">
        <f aca="false">IF(AND(AO83=1,SUM($AJ83:$AO83)=6),$M83/6,IF(AND(AO83=1,SUM($AJ83:$AO83)=5),$M83/5,IF(AND(AO83=1,SUM($AJ83:$AO83)=4),$M83/4,IF(AND(AO83=1,SUM($AJ83:$AO83)=3),$M83/3,IF(AND(AO83=1,SUM($AJ83:$AO83)=2),$M83/2,IF(AND(AO83=1,SUM($AJ83:$AO83)=1),$M83,0))))))</f>
        <v>0</v>
      </c>
      <c r="AV83" s="29" t="s">
        <v>116</v>
      </c>
      <c r="AW83" s="26"/>
      <c r="AX83" s="29" t="s">
        <v>117</v>
      </c>
      <c r="AY83" s="26"/>
      <c r="AZ83" s="29" t="s">
        <v>114</v>
      </c>
      <c r="BA83" s="26"/>
      <c r="BB83" s="29" t="s">
        <v>117</v>
      </c>
      <c r="BC83" s="26"/>
      <c r="BD83" s="26" t="s">
        <v>116</v>
      </c>
      <c r="BE83" s="26"/>
      <c r="BF83" s="29" t="s">
        <v>117</v>
      </c>
      <c r="BG83" s="30" t="s">
        <v>119</v>
      </c>
    </row>
    <row r="84" customFormat="false" ht="39.55" hidden="false" customHeight="false" outlineLevel="0" collapsed="false">
      <c r="A84" s="20" t="n">
        <v>82</v>
      </c>
      <c r="B84" s="20" t="s">
        <v>21</v>
      </c>
      <c r="C84" s="20" t="s">
        <v>231</v>
      </c>
      <c r="D84" s="20" t="s">
        <v>499</v>
      </c>
      <c r="E84" s="20" t="s">
        <v>46</v>
      </c>
      <c r="F84" s="21" t="s">
        <v>4</v>
      </c>
      <c r="G84" s="21" t="s">
        <v>109</v>
      </c>
      <c r="H84" s="21" t="s">
        <v>233</v>
      </c>
      <c r="I84" s="22" t="s">
        <v>150</v>
      </c>
      <c r="J84" s="22" t="s">
        <v>22</v>
      </c>
      <c r="K84" s="23" t="s">
        <v>16</v>
      </c>
      <c r="L84" s="24" t="n">
        <f aca="false">M84*3600</f>
        <v>3745800000</v>
      </c>
      <c r="M84" s="25" t="n">
        <v>1040500</v>
      </c>
      <c r="N84" s="21" t="s">
        <v>500</v>
      </c>
      <c r="O84" s="21" t="s">
        <v>501</v>
      </c>
      <c r="P84" s="21" t="s">
        <v>219</v>
      </c>
      <c r="Q84" s="21" t="s">
        <v>160</v>
      </c>
      <c r="R84" s="26"/>
      <c r="S84" s="27" t="n">
        <v>1</v>
      </c>
      <c r="T84" s="27" t="n">
        <v>1</v>
      </c>
      <c r="U84" s="27" t="n">
        <v>1</v>
      </c>
      <c r="V84" s="27" t="n">
        <v>1</v>
      </c>
      <c r="W84" s="26"/>
      <c r="X84" s="26"/>
      <c r="Y84" s="26"/>
      <c r="Z84" s="26"/>
      <c r="AA84" s="26" t="n">
        <v>1</v>
      </c>
      <c r="AB84" s="26" t="n">
        <v>1</v>
      </c>
      <c r="AC84" s="26" t="n">
        <v>1</v>
      </c>
      <c r="AD84" s="26"/>
      <c r="AE84" s="26"/>
      <c r="AF84" s="26"/>
      <c r="AG84" s="26"/>
      <c r="AH84" s="26"/>
      <c r="AI84" s="26"/>
      <c r="AJ84" s="22" t="n">
        <f aca="false">IF(SUM(R84:T84)&gt;0,1,0)</f>
        <v>1</v>
      </c>
      <c r="AK84" s="22" t="n">
        <f aca="false">IF(SUM(U84:W84)&gt;0,1,0)</f>
        <v>1</v>
      </c>
      <c r="AL84" s="22" t="n">
        <f aca="false">IF(SUM(X84:Z84)&gt;0,1,0)</f>
        <v>0</v>
      </c>
      <c r="AM84" s="22" t="n">
        <f aca="false">IF(SUM(AA84:AC84)&gt;0,1,0)</f>
        <v>1</v>
      </c>
      <c r="AN84" s="22" t="n">
        <f aca="false">IF(SUM(AD84:AF84)&gt;0,1,0)</f>
        <v>0</v>
      </c>
      <c r="AO84" s="22" t="n">
        <f aca="false">IF(SUM(AG84:AI84)&gt;0,1,0)</f>
        <v>0</v>
      </c>
      <c r="AP84" s="28" t="n">
        <f aca="false">IF(AND(AJ84=1,SUM($AJ84:$AO84)=6),$M84/6,IF(AND(AJ84=1,SUM($AJ84:$AO84)=5),$M84/5,IF(AND(AJ84=1,SUM($AJ84:$AO84)=4),$M84/4,IF(AND(AJ84=1,SUM($AJ84:$AO84)=3),$M84/3,IF(AND(AJ84=1,SUM($AJ84:$AO84)=2),$M84/2,IF(AND(AJ84=1,SUM($AJ84:$AO84)=1),$M84,0))))))</f>
        <v>346833.333333333</v>
      </c>
      <c r="AQ84" s="28" t="n">
        <f aca="false">IF(AND(AK84=1,SUM($AJ84:$AO84)=6),$M84/6,IF(AND(AK84=1,SUM($AJ84:$AO84)=5),$M84/5,IF(AND(AK84=1,SUM($AJ84:$AO84)=4),$M84/4,IF(AND(AK84=1,SUM($AJ84:$AO84)=3),$M84/3,IF(AND(AK84=1,SUM($AJ84:$AO84)=2),$M84/2,IF(AND(AK84=1,SUM($AJ84:$AO84)=1),$M84,0))))))</f>
        <v>346833.333333333</v>
      </c>
      <c r="AR84" s="28" t="n">
        <f aca="false">IF(AND(AL84=1,SUM($AJ84:$AO84)=6),$M84/6,IF(AND(AL84=1,SUM($AJ84:$AO84)=5),$M84/5,IF(AND(AL84=1,SUM($AJ84:$AO84)=4),$M84/4,IF(AND(AL84=1,SUM($AJ84:$AO84)=3),$M84/3,IF(AND(AL84=1,SUM($AJ84:$AO84)=2),$M84/2,IF(AND(AL84=1,SUM($AJ84:$AO84)=1),$M84,0))))))</f>
        <v>0</v>
      </c>
      <c r="AS84" s="28" t="n">
        <f aca="false">IF(AND(AM84=1,SUM($AJ84:$AO84)=6),$M84/6,IF(AND(AM84=1,SUM($AJ84:$AO84)=5),$M84/5,IF(AND(AM84=1,SUM($AJ84:$AO84)=4),$M84/4,IF(AND(AM84=1,SUM($AJ84:$AO84)=3),$M84/3,IF(AND(AM84=1,SUM($AJ84:$AO84)=2),$M84/2,IF(AND(AM84=1,SUM($AJ84:$AO84)=1),$M84,0))))))</f>
        <v>346833.333333333</v>
      </c>
      <c r="AT84" s="28" t="n">
        <f aca="false">IF(AND(AN84=1,SUM($AJ84:$AO84)=6),$M84/6,IF(AND(AN84=1,SUM($AJ84:$AO84)=5),$M84/5,IF(AND(AN84=1,SUM($AJ84:$AO84)=4),$M84/4,IF(AND(AN84=1,SUM($AJ84:$AO84)=3),$M84/3,IF(AND(AN84=1,SUM($AJ84:$AO84)=2),$M84/2,IF(AND(AN84=1,SUM($AJ84:$AO84)=1),$M84,0))))))</f>
        <v>0</v>
      </c>
      <c r="AU84" s="28" t="n">
        <f aca="false">IF(AND(AO84=1,SUM($AJ84:$AO84)=6),$M84/6,IF(AND(AO84=1,SUM($AJ84:$AO84)=5),$M84/5,IF(AND(AO84=1,SUM($AJ84:$AO84)=4),$M84/4,IF(AND(AO84=1,SUM($AJ84:$AO84)=3),$M84/3,IF(AND(AO84=1,SUM($AJ84:$AO84)=2),$M84/2,IF(AND(AO84=1,SUM($AJ84:$AO84)=1),$M84,0))))))</f>
        <v>0</v>
      </c>
      <c r="AV84" s="29" t="s">
        <v>116</v>
      </c>
      <c r="AW84" s="26"/>
      <c r="AX84" s="26" t="s">
        <v>116</v>
      </c>
      <c r="AY84" s="26"/>
      <c r="AZ84" s="29" t="s">
        <v>117</v>
      </c>
      <c r="BA84" s="26"/>
      <c r="BB84" s="29" t="s">
        <v>114</v>
      </c>
      <c r="BC84" s="26"/>
      <c r="BD84" s="26"/>
      <c r="BE84" s="26"/>
      <c r="BF84" s="29" t="s">
        <v>117</v>
      </c>
      <c r="BG84" s="30" t="s">
        <v>119</v>
      </c>
    </row>
    <row r="85" customFormat="false" ht="39.55" hidden="false" customHeight="false" outlineLevel="0" collapsed="false">
      <c r="A85" s="20" t="n">
        <v>83</v>
      </c>
      <c r="B85" s="20" t="s">
        <v>21</v>
      </c>
      <c r="C85" s="20" t="s">
        <v>383</v>
      </c>
      <c r="D85" s="32" t="s">
        <v>502</v>
      </c>
      <c r="E85" s="32" t="s">
        <v>45</v>
      </c>
      <c r="F85" s="21" t="s">
        <v>4</v>
      </c>
      <c r="G85" s="21" t="s">
        <v>109</v>
      </c>
      <c r="H85" s="21" t="s">
        <v>233</v>
      </c>
      <c r="I85" s="22" t="s">
        <v>111</v>
      </c>
      <c r="J85" s="22" t="s">
        <v>397</v>
      </c>
      <c r="K85" s="23" t="s">
        <v>122</v>
      </c>
      <c r="L85" s="24" t="n">
        <f aca="false">M85*3600</f>
        <v>3747600000</v>
      </c>
      <c r="M85" s="25" t="n">
        <v>1041000</v>
      </c>
      <c r="N85" s="53" t="s">
        <v>503</v>
      </c>
      <c r="O85" s="31" t="n">
        <v>44075</v>
      </c>
      <c r="P85" s="21" t="s">
        <v>385</v>
      </c>
      <c r="Q85" s="21"/>
      <c r="R85" s="26"/>
      <c r="S85" s="26"/>
      <c r="T85" s="26"/>
      <c r="U85" s="26"/>
      <c r="V85" s="26"/>
      <c r="W85" s="26"/>
      <c r="X85" s="26"/>
      <c r="Y85" s="26"/>
      <c r="Z85" s="27" t="n">
        <v>1</v>
      </c>
      <c r="AA85" s="26"/>
      <c r="AB85" s="26"/>
      <c r="AC85" s="26"/>
      <c r="AD85" s="26"/>
      <c r="AE85" s="26"/>
      <c r="AF85" s="26"/>
      <c r="AG85" s="26"/>
      <c r="AH85" s="26"/>
      <c r="AI85" s="26"/>
      <c r="AJ85" s="22" t="n">
        <f aca="false">IF(SUM(R85:T85)&gt;0,1,0)</f>
        <v>0</v>
      </c>
      <c r="AK85" s="22" t="n">
        <f aca="false">IF(SUM(U85:W85)&gt;0,1,0)</f>
        <v>0</v>
      </c>
      <c r="AL85" s="22" t="n">
        <f aca="false">IF(SUM(X85:Z85)&gt;0,1,0)</f>
        <v>1</v>
      </c>
      <c r="AM85" s="22" t="n">
        <f aca="false">IF(SUM(AA85:AC85)&gt;0,1,0)</f>
        <v>0</v>
      </c>
      <c r="AN85" s="22" t="n">
        <f aca="false">IF(SUM(AD85:AF85)&gt;0,1,0)</f>
        <v>0</v>
      </c>
      <c r="AO85" s="22" t="n">
        <f aca="false">IF(SUM(AG85:AI85)&gt;0,1,0)</f>
        <v>0</v>
      </c>
      <c r="AP85" s="28" t="n">
        <f aca="false">IF(AND(AJ85=1,SUM($AJ85:$AO85)=6),$M85/6,IF(AND(AJ85=1,SUM($AJ85:$AO85)=5),$M85/5,IF(AND(AJ85=1,SUM($AJ85:$AO85)=4),$M85/4,IF(AND(AJ85=1,SUM($AJ85:$AO85)=3),$M85/3,IF(AND(AJ85=1,SUM($AJ85:$AO85)=2),$M85/2,IF(AND(AJ85=1,SUM($AJ85:$AO85)=1),$M85,0))))))</f>
        <v>0</v>
      </c>
      <c r="AQ85" s="28" t="n">
        <f aca="false">IF(AND(AK85=1,SUM($AJ85:$AO85)=6),$M85/6,IF(AND(AK85=1,SUM($AJ85:$AO85)=5),$M85/5,IF(AND(AK85=1,SUM($AJ85:$AO85)=4),$M85/4,IF(AND(AK85=1,SUM($AJ85:$AO85)=3),$M85/3,IF(AND(AK85=1,SUM($AJ85:$AO85)=2),$M85/2,IF(AND(AK85=1,SUM($AJ85:$AO85)=1),$M85,0))))))</f>
        <v>0</v>
      </c>
      <c r="AR85" s="28" t="n">
        <f aca="false">IF(AND(AL85=1,SUM($AJ85:$AO85)=6),$M85/6,IF(AND(AL85=1,SUM($AJ85:$AO85)=5),$M85/5,IF(AND(AL85=1,SUM($AJ85:$AO85)=4),$M85/4,IF(AND(AL85=1,SUM($AJ85:$AO85)=3),$M85/3,IF(AND(AL85=1,SUM($AJ85:$AO85)=2),$M85/2,IF(AND(AL85=1,SUM($AJ85:$AO85)=1),$M85,0))))))</f>
        <v>1041000</v>
      </c>
      <c r="AS85" s="28" t="n">
        <f aca="false">IF(AND(AM85=1,SUM($AJ85:$AO85)=6),$M85/6,IF(AND(AM85=1,SUM($AJ85:$AO85)=5),$M85/5,IF(AND(AM85=1,SUM($AJ85:$AO85)=4),$M85/4,IF(AND(AM85=1,SUM($AJ85:$AO85)=3),$M85/3,IF(AND(AM85=1,SUM($AJ85:$AO85)=2),$M85/2,IF(AND(AM85=1,SUM($AJ85:$AO85)=1),$M85,0))))))</f>
        <v>0</v>
      </c>
      <c r="AT85" s="28" t="n">
        <f aca="false">IF(AND(AN85=1,SUM($AJ85:$AO85)=6),$M85/6,IF(AND(AN85=1,SUM($AJ85:$AO85)=5),$M85/5,IF(AND(AN85=1,SUM($AJ85:$AO85)=4),$M85/4,IF(AND(AN85=1,SUM($AJ85:$AO85)=3),$M85/3,IF(AND(AN85=1,SUM($AJ85:$AO85)=2),$M85/2,IF(AND(AN85=1,SUM($AJ85:$AO85)=1),$M85,0))))))</f>
        <v>0</v>
      </c>
      <c r="AU85" s="28" t="n">
        <f aca="false">IF(AND(AO85=1,SUM($AJ85:$AO85)=6),$M85/6,IF(AND(AO85=1,SUM($AJ85:$AO85)=5),$M85/5,IF(AND(AO85=1,SUM($AJ85:$AO85)=4),$M85/4,IF(AND(AO85=1,SUM($AJ85:$AO85)=3),$M85/3,IF(AND(AO85=1,SUM($AJ85:$AO85)=2),$M85/2,IF(AND(AO85=1,SUM($AJ85:$AO85)=1),$M85,0))))))</f>
        <v>0</v>
      </c>
      <c r="AV85" s="29" t="s">
        <v>117</v>
      </c>
      <c r="AW85" s="29"/>
      <c r="AX85" s="26" t="s">
        <v>116</v>
      </c>
      <c r="AY85" s="30"/>
      <c r="AZ85" s="26" t="s">
        <v>116</v>
      </c>
      <c r="BA85" s="30"/>
      <c r="BB85" s="29" t="s">
        <v>114</v>
      </c>
      <c r="BC85" s="30"/>
      <c r="BD85" s="29"/>
      <c r="BE85" s="30"/>
      <c r="BF85" s="29" t="s">
        <v>117</v>
      </c>
      <c r="BG85" s="30" t="s">
        <v>119</v>
      </c>
    </row>
    <row r="86" customFormat="false" ht="39.55" hidden="false" customHeight="false" outlineLevel="0" collapsed="false">
      <c r="A86" s="20" t="n">
        <v>84</v>
      </c>
      <c r="B86" s="20" t="s">
        <v>21</v>
      </c>
      <c r="C86" s="20" t="s">
        <v>383</v>
      </c>
      <c r="D86" s="32" t="s">
        <v>504</v>
      </c>
      <c r="E86" s="32" t="s">
        <v>46</v>
      </c>
      <c r="F86" s="21" t="s">
        <v>4</v>
      </c>
      <c r="G86" s="21" t="s">
        <v>109</v>
      </c>
      <c r="H86" s="21" t="s">
        <v>233</v>
      </c>
      <c r="I86" s="22" t="s">
        <v>111</v>
      </c>
      <c r="J86" s="22" t="s">
        <v>397</v>
      </c>
      <c r="K86" s="23" t="s">
        <v>130</v>
      </c>
      <c r="L86" s="24" t="n">
        <f aca="false">M86*3600</f>
        <v>3749400000</v>
      </c>
      <c r="M86" s="25" t="n">
        <v>1041500</v>
      </c>
      <c r="N86" s="21"/>
      <c r="O86" s="31" t="s">
        <v>505</v>
      </c>
      <c r="P86" s="31" t="s">
        <v>485</v>
      </c>
      <c r="Q86" s="21"/>
      <c r="R86" s="26"/>
      <c r="S86" s="26"/>
      <c r="T86" s="26"/>
      <c r="U86" s="26"/>
      <c r="V86" s="26"/>
      <c r="W86" s="27" t="n">
        <v>1</v>
      </c>
      <c r="X86" s="26"/>
      <c r="Y86" s="26"/>
      <c r="Z86" s="26"/>
      <c r="AA86" s="26"/>
      <c r="AB86" s="26"/>
      <c r="AC86" s="26"/>
      <c r="AD86" s="26"/>
      <c r="AE86" s="26"/>
      <c r="AF86" s="26"/>
      <c r="AG86" s="26"/>
      <c r="AH86" s="26"/>
      <c r="AI86" s="26"/>
      <c r="AJ86" s="22" t="n">
        <f aca="false">IF(SUM(R86:T86)&gt;0,1,0)</f>
        <v>0</v>
      </c>
      <c r="AK86" s="22" t="n">
        <f aca="false">IF(SUM(U86:W86)&gt;0,1,0)</f>
        <v>1</v>
      </c>
      <c r="AL86" s="22" t="n">
        <f aca="false">IF(SUM(X86:Z86)&gt;0,1,0)</f>
        <v>0</v>
      </c>
      <c r="AM86" s="22" t="n">
        <f aca="false">IF(SUM(AA86:AC86)&gt;0,1,0)</f>
        <v>0</v>
      </c>
      <c r="AN86" s="22" t="n">
        <f aca="false">IF(SUM(AD86:AF86)&gt;0,1,0)</f>
        <v>0</v>
      </c>
      <c r="AO86" s="22" t="n">
        <f aca="false">IF(SUM(AG86:AI86)&gt;0,1,0)</f>
        <v>0</v>
      </c>
      <c r="AP86" s="28" t="n">
        <f aca="false">IF(AND(AJ86=1,SUM($AJ86:$AO86)=6),$M86/6,IF(AND(AJ86=1,SUM($AJ86:$AO86)=5),$M86/5,IF(AND(AJ86=1,SUM($AJ86:$AO86)=4),$M86/4,IF(AND(AJ86=1,SUM($AJ86:$AO86)=3),$M86/3,IF(AND(AJ86=1,SUM($AJ86:$AO86)=2),$M86/2,IF(AND(AJ86=1,SUM($AJ86:$AO86)=1),$M86,0))))))</f>
        <v>0</v>
      </c>
      <c r="AQ86" s="28" t="n">
        <f aca="false">IF(AND(AK86=1,SUM($AJ86:$AO86)=6),$M86/6,IF(AND(AK86=1,SUM($AJ86:$AO86)=5),$M86/5,IF(AND(AK86=1,SUM($AJ86:$AO86)=4),$M86/4,IF(AND(AK86=1,SUM($AJ86:$AO86)=3),$M86/3,IF(AND(AK86=1,SUM($AJ86:$AO86)=2),$M86/2,IF(AND(AK86=1,SUM($AJ86:$AO86)=1),$M86,0))))))</f>
        <v>1041500</v>
      </c>
      <c r="AR86" s="28" t="n">
        <f aca="false">IF(AND(AL86=1,SUM($AJ86:$AO86)=6),$M86/6,IF(AND(AL86=1,SUM($AJ86:$AO86)=5),$M86/5,IF(AND(AL86=1,SUM($AJ86:$AO86)=4),$M86/4,IF(AND(AL86=1,SUM($AJ86:$AO86)=3),$M86/3,IF(AND(AL86=1,SUM($AJ86:$AO86)=2),$M86/2,IF(AND(AL86=1,SUM($AJ86:$AO86)=1),$M86,0))))))</f>
        <v>0</v>
      </c>
      <c r="AS86" s="28" t="n">
        <f aca="false">IF(AND(AM86=1,SUM($AJ86:$AO86)=6),$M86/6,IF(AND(AM86=1,SUM($AJ86:$AO86)=5),$M86/5,IF(AND(AM86=1,SUM($AJ86:$AO86)=4),$M86/4,IF(AND(AM86=1,SUM($AJ86:$AO86)=3),$M86/3,IF(AND(AM86=1,SUM($AJ86:$AO86)=2),$M86/2,IF(AND(AM86=1,SUM($AJ86:$AO86)=1),$M86,0))))))</f>
        <v>0</v>
      </c>
      <c r="AT86" s="28" t="n">
        <f aca="false">IF(AND(AN86=1,SUM($AJ86:$AO86)=6),$M86/6,IF(AND(AN86=1,SUM($AJ86:$AO86)=5),$M86/5,IF(AND(AN86=1,SUM($AJ86:$AO86)=4),$M86/4,IF(AND(AN86=1,SUM($AJ86:$AO86)=3),$M86/3,IF(AND(AN86=1,SUM($AJ86:$AO86)=2),$M86/2,IF(AND(AN86=1,SUM($AJ86:$AO86)=1),$M86,0))))))</f>
        <v>0</v>
      </c>
      <c r="AU86" s="28" t="n">
        <f aca="false">IF(AND(AO86=1,SUM($AJ86:$AO86)=6),$M86/6,IF(AND(AO86=1,SUM($AJ86:$AO86)=5),$M86/5,IF(AND(AO86=1,SUM($AJ86:$AO86)=4),$M86/4,IF(AND(AO86=1,SUM($AJ86:$AO86)=3),$M86/3,IF(AND(AO86=1,SUM($AJ86:$AO86)=2),$M86/2,IF(AND(AO86=1,SUM($AJ86:$AO86)=1),$M86,0))))))</f>
        <v>0</v>
      </c>
      <c r="AV86" s="29" t="s">
        <v>117</v>
      </c>
      <c r="AW86" s="29"/>
      <c r="AX86" s="26" t="s">
        <v>116</v>
      </c>
      <c r="AY86" s="30"/>
      <c r="AZ86" s="26" t="s">
        <v>116</v>
      </c>
      <c r="BA86" s="30"/>
      <c r="BB86" s="29" t="s">
        <v>114</v>
      </c>
      <c r="BC86" s="30"/>
      <c r="BD86" s="29" t="s">
        <v>114</v>
      </c>
      <c r="BE86" s="30"/>
      <c r="BF86" s="29" t="s">
        <v>114</v>
      </c>
      <c r="BG86" s="30" t="s">
        <v>119</v>
      </c>
    </row>
    <row r="87" customFormat="false" ht="39.55" hidden="false" customHeight="false" outlineLevel="0" collapsed="false">
      <c r="A87" s="20" t="n">
        <v>85</v>
      </c>
      <c r="B87" s="20" t="s">
        <v>21</v>
      </c>
      <c r="C87" s="20" t="s">
        <v>107</v>
      </c>
      <c r="D87" s="32" t="s">
        <v>506</v>
      </c>
      <c r="E87" s="36" t="s">
        <v>46</v>
      </c>
      <c r="F87" s="21" t="s">
        <v>4</v>
      </c>
      <c r="G87" s="21" t="s">
        <v>109</v>
      </c>
      <c r="H87" s="36" t="s">
        <v>507</v>
      </c>
      <c r="I87" s="22" t="s">
        <v>111</v>
      </c>
      <c r="J87" s="22" t="s">
        <v>25</v>
      </c>
      <c r="K87" s="23" t="s">
        <v>16</v>
      </c>
      <c r="L87" s="24" t="n">
        <f aca="false">M87*3600</f>
        <v>3751200000</v>
      </c>
      <c r="M87" s="25" t="n">
        <v>1042000</v>
      </c>
      <c r="N87" s="44"/>
      <c r="O87" s="54" t="s">
        <v>508</v>
      </c>
      <c r="P87" s="21" t="s">
        <v>385</v>
      </c>
      <c r="Q87" s="36"/>
      <c r="R87" s="26"/>
      <c r="S87" s="26"/>
      <c r="T87" s="26"/>
      <c r="U87" s="26"/>
      <c r="V87" s="26" t="n">
        <v>1</v>
      </c>
      <c r="W87" s="26"/>
      <c r="X87" s="26"/>
      <c r="Y87" s="26"/>
      <c r="Z87" s="26"/>
      <c r="AA87" s="26"/>
      <c r="AB87" s="26"/>
      <c r="AC87" s="26"/>
      <c r="AD87" s="26"/>
      <c r="AE87" s="26"/>
      <c r="AF87" s="26"/>
      <c r="AG87" s="26"/>
      <c r="AH87" s="26"/>
      <c r="AI87" s="26"/>
      <c r="AJ87" s="22" t="n">
        <f aca="false">IF(SUM(R87:T87)&gt;0,1,0)</f>
        <v>0</v>
      </c>
      <c r="AK87" s="22" t="n">
        <f aca="false">IF(SUM(U87:W87)&gt;0,1,0)</f>
        <v>1</v>
      </c>
      <c r="AL87" s="22" t="n">
        <f aca="false">IF(SUM(X87:Z87)&gt;0,1,0)</f>
        <v>0</v>
      </c>
      <c r="AM87" s="22" t="n">
        <f aca="false">IF(SUM(AA87:AC87)&gt;0,1,0)</f>
        <v>0</v>
      </c>
      <c r="AN87" s="22" t="n">
        <f aca="false">IF(SUM(AD87:AF87)&gt;0,1,0)</f>
        <v>0</v>
      </c>
      <c r="AO87" s="22" t="n">
        <f aca="false">IF(SUM(AG87:AI87)&gt;0,1,0)</f>
        <v>0</v>
      </c>
      <c r="AP87" s="28" t="n">
        <f aca="false">IF(AND(AJ87=1,SUM($AJ87:$AO87)=6),$M87/6,IF(AND(AJ87=1,SUM($AJ87:$AO87)=5),$M87/5,IF(AND(AJ87=1,SUM($AJ87:$AO87)=4),$M87/4,IF(AND(AJ87=1,SUM($AJ87:$AO87)=3),$M87/3,IF(AND(AJ87=1,SUM($AJ87:$AO87)=2),$M87/2,IF(AND(AJ87=1,SUM($AJ87:$AO87)=1),$M87,0))))))</f>
        <v>0</v>
      </c>
      <c r="AQ87" s="28" t="n">
        <f aca="false">IF(AND(AK87=1,SUM($AJ87:$AO87)=6),$M87/6,IF(AND(AK87=1,SUM($AJ87:$AO87)=5),$M87/5,IF(AND(AK87=1,SUM($AJ87:$AO87)=4),$M87/4,IF(AND(AK87=1,SUM($AJ87:$AO87)=3),$M87/3,IF(AND(AK87=1,SUM($AJ87:$AO87)=2),$M87/2,IF(AND(AK87=1,SUM($AJ87:$AO87)=1),$M87,0))))))</f>
        <v>1042000</v>
      </c>
      <c r="AR87" s="28" t="n">
        <f aca="false">IF(AND(AL87=1,SUM($AJ87:$AO87)=6),$M87/6,IF(AND(AL87=1,SUM($AJ87:$AO87)=5),$M87/5,IF(AND(AL87=1,SUM($AJ87:$AO87)=4),$M87/4,IF(AND(AL87=1,SUM($AJ87:$AO87)=3),$M87/3,IF(AND(AL87=1,SUM($AJ87:$AO87)=2),$M87/2,IF(AND(AL87=1,SUM($AJ87:$AO87)=1),$M87,0))))))</f>
        <v>0</v>
      </c>
      <c r="AS87" s="28" t="n">
        <f aca="false">IF(AND(AM87=1,SUM($AJ87:$AO87)=6),$M87/6,IF(AND(AM87=1,SUM($AJ87:$AO87)=5),$M87/5,IF(AND(AM87=1,SUM($AJ87:$AO87)=4),$M87/4,IF(AND(AM87=1,SUM($AJ87:$AO87)=3),$M87/3,IF(AND(AM87=1,SUM($AJ87:$AO87)=2),$M87/2,IF(AND(AM87=1,SUM($AJ87:$AO87)=1),$M87,0))))))</f>
        <v>0</v>
      </c>
      <c r="AT87" s="28" t="n">
        <f aca="false">IF(AND(AN87=1,SUM($AJ87:$AO87)=6),$M87/6,IF(AND(AN87=1,SUM($AJ87:$AO87)=5),$M87/5,IF(AND(AN87=1,SUM($AJ87:$AO87)=4),$M87/4,IF(AND(AN87=1,SUM($AJ87:$AO87)=3),$M87/3,IF(AND(AN87=1,SUM($AJ87:$AO87)=2),$M87/2,IF(AND(AN87=1,SUM($AJ87:$AO87)=1),$M87,0))))))</f>
        <v>0</v>
      </c>
      <c r="AU87" s="28" t="n">
        <f aca="false">IF(AND(AO87=1,SUM($AJ87:$AO87)=6),$M87/6,IF(AND(AO87=1,SUM($AJ87:$AO87)=5),$M87/5,IF(AND(AO87=1,SUM($AJ87:$AO87)=4),$M87/4,IF(AND(AO87=1,SUM($AJ87:$AO87)=3),$M87/3,IF(AND(AO87=1,SUM($AJ87:$AO87)=2),$M87/2,IF(AND(AO87=1,SUM($AJ87:$AO87)=1),$M87,0))))))</f>
        <v>0</v>
      </c>
      <c r="AV87" s="29" t="s">
        <v>117</v>
      </c>
      <c r="AW87" s="26"/>
      <c r="AX87" s="29" t="s">
        <v>117</v>
      </c>
      <c r="AY87" s="29" t="s">
        <v>265</v>
      </c>
      <c r="AZ87" s="26" t="s">
        <v>116</v>
      </c>
      <c r="BA87" s="26"/>
      <c r="BB87" s="29" t="s">
        <v>114</v>
      </c>
      <c r="BC87" s="26"/>
      <c r="BD87" s="29" t="s">
        <v>114</v>
      </c>
      <c r="BE87" s="26"/>
      <c r="BF87" s="29" t="s">
        <v>114</v>
      </c>
      <c r="BG87" s="30" t="s">
        <v>119</v>
      </c>
    </row>
    <row r="88" customFormat="false" ht="191.75" hidden="false" customHeight="false" outlineLevel="0" collapsed="false">
      <c r="A88" s="20" t="n">
        <v>86</v>
      </c>
      <c r="B88" s="20" t="s">
        <v>21</v>
      </c>
      <c r="C88" s="20" t="s">
        <v>383</v>
      </c>
      <c r="D88" s="20" t="s">
        <v>509</v>
      </c>
      <c r="E88" s="20" t="s">
        <v>45</v>
      </c>
      <c r="F88" s="21" t="s">
        <v>4</v>
      </c>
      <c r="G88" s="21" t="s">
        <v>109</v>
      </c>
      <c r="H88" s="21" t="s">
        <v>510</v>
      </c>
      <c r="I88" s="22" t="s">
        <v>111</v>
      </c>
      <c r="J88" s="22" t="s">
        <v>23</v>
      </c>
      <c r="K88" s="23" t="s">
        <v>122</v>
      </c>
      <c r="L88" s="24" t="n">
        <f aca="false">M88*3600</f>
        <v>3753000000</v>
      </c>
      <c r="M88" s="25" t="n">
        <v>1042500</v>
      </c>
      <c r="N88" s="21" t="s">
        <v>511</v>
      </c>
      <c r="O88" s="21" t="s">
        <v>313</v>
      </c>
      <c r="P88" s="21" t="s">
        <v>485</v>
      </c>
      <c r="Q88" s="21" t="s">
        <v>512</v>
      </c>
      <c r="R88" s="27" t="n">
        <v>1</v>
      </c>
      <c r="S88" s="27" t="n">
        <v>1</v>
      </c>
      <c r="T88" s="27" t="n">
        <v>1</v>
      </c>
      <c r="U88" s="27" t="n">
        <v>1</v>
      </c>
      <c r="V88" s="27" t="n">
        <v>1</v>
      </c>
      <c r="W88" s="27" t="n">
        <v>1</v>
      </c>
      <c r="X88" s="27" t="n">
        <v>1</v>
      </c>
      <c r="Y88" s="27" t="n">
        <v>1</v>
      </c>
      <c r="Z88" s="27" t="n">
        <v>1</v>
      </c>
      <c r="AA88" s="27" t="n">
        <v>1</v>
      </c>
      <c r="AB88" s="27" t="n">
        <v>1</v>
      </c>
      <c r="AC88" s="27" t="n">
        <v>1</v>
      </c>
      <c r="AD88" s="27" t="n">
        <v>1</v>
      </c>
      <c r="AE88" s="27" t="n">
        <v>1</v>
      </c>
      <c r="AF88" s="27" t="n">
        <v>1</v>
      </c>
      <c r="AG88" s="27" t="n">
        <v>1</v>
      </c>
      <c r="AH88" s="27" t="n">
        <v>1</v>
      </c>
      <c r="AI88" s="27" t="n">
        <v>1</v>
      </c>
      <c r="AJ88" s="22" t="n">
        <f aca="false">IF(SUM(R88:T88)&gt;0,1,0)</f>
        <v>1</v>
      </c>
      <c r="AK88" s="22" t="n">
        <f aca="false">IF(SUM(U88:W88)&gt;0,1,0)</f>
        <v>1</v>
      </c>
      <c r="AL88" s="22" t="n">
        <f aca="false">IF(SUM(X88:Z88)&gt;0,1,0)</f>
        <v>1</v>
      </c>
      <c r="AM88" s="22" t="n">
        <f aca="false">IF(SUM(AA88:AC88)&gt;0,1,0)</f>
        <v>1</v>
      </c>
      <c r="AN88" s="22" t="n">
        <f aca="false">IF(SUM(AD88:AF88)&gt;0,1,0)</f>
        <v>1</v>
      </c>
      <c r="AO88" s="22" t="n">
        <f aca="false">IF(SUM(AG88:AI88)&gt;0,1,0)</f>
        <v>1</v>
      </c>
      <c r="AP88" s="28" t="n">
        <f aca="false">IF(AND(AJ88=1,SUM($AJ88:$AO88)=6),$M88/6,IF(AND(AJ88=1,SUM($AJ88:$AO88)=5),$M88/5,IF(AND(AJ88=1,SUM($AJ88:$AO88)=4),$M88/4,IF(AND(AJ88=1,SUM($AJ88:$AO88)=3),$M88/3,IF(AND(AJ88=1,SUM($AJ88:$AO88)=2),$M88/2,IF(AND(AJ88=1,SUM($AJ88:$AO88)=1),$M88,0))))))</f>
        <v>173750</v>
      </c>
      <c r="AQ88" s="28" t="n">
        <f aca="false">IF(AND(AK88=1,SUM($AJ88:$AO88)=6),$M88/6,IF(AND(AK88=1,SUM($AJ88:$AO88)=5),$M88/5,IF(AND(AK88=1,SUM($AJ88:$AO88)=4),$M88/4,IF(AND(AK88=1,SUM($AJ88:$AO88)=3),$M88/3,IF(AND(AK88=1,SUM($AJ88:$AO88)=2),$M88/2,IF(AND(AK88=1,SUM($AJ88:$AO88)=1),$M88,0))))))</f>
        <v>173750</v>
      </c>
      <c r="AR88" s="28" t="n">
        <f aca="false">IF(AND(AL88=1,SUM($AJ88:$AO88)=6),$M88/6,IF(AND(AL88=1,SUM($AJ88:$AO88)=5),$M88/5,IF(AND(AL88=1,SUM($AJ88:$AO88)=4),$M88/4,IF(AND(AL88=1,SUM($AJ88:$AO88)=3),$M88/3,IF(AND(AL88=1,SUM($AJ88:$AO88)=2),$M88/2,IF(AND(AL88=1,SUM($AJ88:$AO88)=1),$M88,0))))))</f>
        <v>173750</v>
      </c>
      <c r="AS88" s="28" t="n">
        <f aca="false">IF(AND(AM88=1,SUM($AJ88:$AO88)=6),$M88/6,IF(AND(AM88=1,SUM($AJ88:$AO88)=5),$M88/5,IF(AND(AM88=1,SUM($AJ88:$AO88)=4),$M88/4,IF(AND(AM88=1,SUM($AJ88:$AO88)=3),$M88/3,IF(AND(AM88=1,SUM($AJ88:$AO88)=2),$M88/2,IF(AND(AM88=1,SUM($AJ88:$AO88)=1),$M88,0))))))</f>
        <v>173750</v>
      </c>
      <c r="AT88" s="28" t="n">
        <f aca="false">IF(AND(AN88=1,SUM($AJ88:$AO88)=6),$M88/6,IF(AND(AN88=1,SUM($AJ88:$AO88)=5),$M88/5,IF(AND(AN88=1,SUM($AJ88:$AO88)=4),$M88/4,IF(AND(AN88=1,SUM($AJ88:$AO88)=3),$M88/3,IF(AND(AN88=1,SUM($AJ88:$AO88)=2),$M88/2,IF(AND(AN88=1,SUM($AJ88:$AO88)=1),$M88,0))))))</f>
        <v>173750</v>
      </c>
      <c r="AU88" s="28" t="n">
        <f aca="false">IF(AND(AO88=1,SUM($AJ88:$AO88)=6),$M88/6,IF(AND(AO88=1,SUM($AJ88:$AO88)=5),$M88/5,IF(AND(AO88=1,SUM($AJ88:$AO88)=4),$M88/4,IF(AND(AO88=1,SUM($AJ88:$AO88)=3),$M88/3,IF(AND(AO88=1,SUM($AJ88:$AO88)=2),$M88/2,IF(AND(AO88=1,SUM($AJ88:$AO88)=1),$M88,0))))))</f>
        <v>173750</v>
      </c>
      <c r="AV88" s="29" t="s">
        <v>114</v>
      </c>
      <c r="AW88" s="29"/>
      <c r="AX88" s="29" t="s">
        <v>117</v>
      </c>
      <c r="AY88" s="29" t="s">
        <v>271</v>
      </c>
      <c r="AZ88" s="26" t="s">
        <v>116</v>
      </c>
      <c r="BA88" s="30"/>
      <c r="BB88" s="29" t="s">
        <v>117</v>
      </c>
      <c r="BC88" s="30"/>
      <c r="BD88" s="29" t="s">
        <v>114</v>
      </c>
      <c r="BE88" s="30"/>
      <c r="BF88" s="29" t="s">
        <v>114</v>
      </c>
      <c r="BG88" s="30" t="s">
        <v>119</v>
      </c>
    </row>
    <row r="89" customFormat="false" ht="39.55" hidden="false" customHeight="false" outlineLevel="0" collapsed="false">
      <c r="A89" s="20" t="n">
        <v>87</v>
      </c>
      <c r="B89" s="20" t="s">
        <v>21</v>
      </c>
      <c r="C89" s="20" t="s">
        <v>293</v>
      </c>
      <c r="D89" s="55" t="s">
        <v>513</v>
      </c>
      <c r="E89" s="56" t="s">
        <v>46</v>
      </c>
      <c r="F89" s="21" t="s">
        <v>4</v>
      </c>
      <c r="G89" s="21" t="s">
        <v>109</v>
      </c>
      <c r="H89" s="21" t="s">
        <v>514</v>
      </c>
      <c r="I89" s="22" t="s">
        <v>111</v>
      </c>
      <c r="J89" s="22" t="s">
        <v>23</v>
      </c>
      <c r="K89" s="23" t="s">
        <v>130</v>
      </c>
      <c r="L89" s="24" t="n">
        <f aca="false">M89*3600</f>
        <v>3754800000</v>
      </c>
      <c r="M89" s="25" t="n">
        <v>1043000</v>
      </c>
      <c r="N89" s="21" t="s">
        <v>515</v>
      </c>
      <c r="O89" s="21" t="s">
        <v>516</v>
      </c>
      <c r="P89" s="21" t="s">
        <v>302</v>
      </c>
      <c r="Q89" s="21" t="s">
        <v>517</v>
      </c>
      <c r="R89" s="26"/>
      <c r="S89" s="26"/>
      <c r="T89" s="26"/>
      <c r="U89" s="26"/>
      <c r="V89" s="26"/>
      <c r="W89" s="26"/>
      <c r="X89" s="27" t="n">
        <v>1</v>
      </c>
      <c r="Y89" s="27" t="n">
        <v>1</v>
      </c>
      <c r="Z89" s="27" t="n">
        <v>1</v>
      </c>
      <c r="AA89" s="27" t="n">
        <v>1</v>
      </c>
      <c r="AB89" s="27" t="n">
        <v>1</v>
      </c>
      <c r="AC89" s="27" t="n">
        <v>1</v>
      </c>
      <c r="AD89" s="26"/>
      <c r="AE89" s="26"/>
      <c r="AF89" s="26"/>
      <c r="AG89" s="26"/>
      <c r="AH89" s="26"/>
      <c r="AI89" s="26"/>
      <c r="AJ89" s="22" t="n">
        <f aca="false">IF(SUM(R89:T89)&gt;0,1,0)</f>
        <v>0</v>
      </c>
      <c r="AK89" s="22" t="n">
        <f aca="false">IF(SUM(U89:W89)&gt;0,1,0)</f>
        <v>0</v>
      </c>
      <c r="AL89" s="22" t="n">
        <f aca="false">IF(SUM(X89:Z89)&gt;0,1,0)</f>
        <v>1</v>
      </c>
      <c r="AM89" s="22" t="n">
        <f aca="false">IF(SUM(AA89:AC89)&gt;0,1,0)</f>
        <v>1</v>
      </c>
      <c r="AN89" s="22" t="n">
        <f aca="false">IF(SUM(AD89:AF89)&gt;0,1,0)</f>
        <v>0</v>
      </c>
      <c r="AO89" s="22" t="n">
        <f aca="false">IF(SUM(AG89:AI89)&gt;0,1,0)</f>
        <v>0</v>
      </c>
      <c r="AP89" s="28" t="n">
        <f aca="false">IF(AND(AJ89=1,SUM($AJ89:$AO89)=6),$M89/6,IF(AND(AJ89=1,SUM($AJ89:$AO89)=5),$M89/5,IF(AND(AJ89=1,SUM($AJ89:$AO89)=4),$M89/4,IF(AND(AJ89=1,SUM($AJ89:$AO89)=3),$M89/3,IF(AND(AJ89=1,SUM($AJ89:$AO89)=2),$M89/2,IF(AND(AJ89=1,SUM($AJ89:$AO89)=1),$M89,0))))))</f>
        <v>0</v>
      </c>
      <c r="AQ89" s="28" t="n">
        <f aca="false">IF(AND(AK89=1,SUM($AJ89:$AO89)=6),$M89/6,IF(AND(AK89=1,SUM($AJ89:$AO89)=5),$M89/5,IF(AND(AK89=1,SUM($AJ89:$AO89)=4),$M89/4,IF(AND(AK89=1,SUM($AJ89:$AO89)=3),$M89/3,IF(AND(AK89=1,SUM($AJ89:$AO89)=2),$M89/2,IF(AND(AK89=1,SUM($AJ89:$AO89)=1),$M89,0))))))</f>
        <v>0</v>
      </c>
      <c r="AR89" s="28" t="n">
        <f aca="false">IF(AND(AL89=1,SUM($AJ89:$AO89)=6),$M89/6,IF(AND(AL89=1,SUM($AJ89:$AO89)=5),$M89/5,IF(AND(AL89=1,SUM($AJ89:$AO89)=4),$M89/4,IF(AND(AL89=1,SUM($AJ89:$AO89)=3),$M89/3,IF(AND(AL89=1,SUM($AJ89:$AO89)=2),$M89/2,IF(AND(AL89=1,SUM($AJ89:$AO89)=1),$M89,0))))))</f>
        <v>521500</v>
      </c>
      <c r="AS89" s="28" t="n">
        <f aca="false">IF(AND(AM89=1,SUM($AJ89:$AO89)=6),$M89/6,IF(AND(AM89=1,SUM($AJ89:$AO89)=5),$M89/5,IF(AND(AM89=1,SUM($AJ89:$AO89)=4),$M89/4,IF(AND(AM89=1,SUM($AJ89:$AO89)=3),$M89/3,IF(AND(AM89=1,SUM($AJ89:$AO89)=2),$M89/2,IF(AND(AM89=1,SUM($AJ89:$AO89)=1),$M89,0))))))</f>
        <v>521500</v>
      </c>
      <c r="AT89" s="28" t="n">
        <f aca="false">IF(AND(AN89=1,SUM($AJ89:$AO89)=6),$M89/6,IF(AND(AN89=1,SUM($AJ89:$AO89)=5),$M89/5,IF(AND(AN89=1,SUM($AJ89:$AO89)=4),$M89/4,IF(AND(AN89=1,SUM($AJ89:$AO89)=3),$M89/3,IF(AND(AN89=1,SUM($AJ89:$AO89)=2),$M89/2,IF(AND(AN89=1,SUM($AJ89:$AO89)=1),$M89,0))))))</f>
        <v>0</v>
      </c>
      <c r="AU89" s="28" t="n">
        <f aca="false">IF(AND(AO89=1,SUM($AJ89:$AO89)=6),$M89/6,IF(AND(AO89=1,SUM($AJ89:$AO89)=5),$M89/5,IF(AND(AO89=1,SUM($AJ89:$AO89)=4),$M89/4,IF(AND(AO89=1,SUM($AJ89:$AO89)=3),$M89/3,IF(AND(AO89=1,SUM($AJ89:$AO89)=2),$M89/2,IF(AND(AO89=1,SUM($AJ89:$AO89)=1),$M89,0))))))</f>
        <v>0</v>
      </c>
      <c r="AV89" s="29" t="s">
        <v>114</v>
      </c>
      <c r="AW89" s="29"/>
      <c r="AX89" s="29" t="s">
        <v>117</v>
      </c>
      <c r="AY89" s="29" t="s">
        <v>275</v>
      </c>
      <c r="AZ89" s="26" t="s">
        <v>116</v>
      </c>
      <c r="BA89" s="30"/>
      <c r="BB89" s="29" t="s">
        <v>117</v>
      </c>
      <c r="BC89" s="30"/>
      <c r="BD89" s="29" t="s">
        <v>117</v>
      </c>
      <c r="BE89" s="30"/>
      <c r="BF89" s="29" t="s">
        <v>114</v>
      </c>
      <c r="BG89" s="30" t="s">
        <v>518</v>
      </c>
    </row>
    <row r="90" customFormat="false" ht="13.8" hidden="false" customHeight="false" outlineLevel="0" collapsed="false">
      <c r="K90" s="57"/>
      <c r="AV90" s="29"/>
      <c r="BF90" s="29"/>
    </row>
    <row r="91" customFormat="false" ht="13.8" hidden="false" customHeight="false" outlineLevel="0" collapsed="false">
      <c r="K91" s="57"/>
      <c r="AV91" s="29"/>
      <c r="BF91" s="29"/>
    </row>
    <row r="92" customFormat="false" ht="13.8" hidden="false" customHeight="false" outlineLevel="0" collapsed="false">
      <c r="AV92" s="29"/>
      <c r="BF92" s="29"/>
    </row>
    <row r="93" customFormat="false" ht="13.8" hidden="false" customHeight="false" outlineLevel="0" collapsed="false">
      <c r="AV93" s="29"/>
      <c r="BF93" s="29"/>
    </row>
    <row r="94" customFormat="false" ht="13.8" hidden="false" customHeight="false" outlineLevel="0" collapsed="false">
      <c r="AV94" s="29"/>
      <c r="BF94" s="29"/>
    </row>
    <row r="95" customFormat="false" ht="13.8" hidden="false" customHeight="false" outlineLevel="0" collapsed="false">
      <c r="AV95" s="29"/>
      <c r="BF95" s="29"/>
    </row>
    <row r="96" customFormat="false" ht="13.8" hidden="false" customHeight="false" outlineLevel="0" collapsed="false">
      <c r="AV96" s="29"/>
      <c r="BF96" s="29"/>
    </row>
    <row r="97" customFormat="false" ht="13.8" hidden="false" customHeight="false" outlineLevel="0" collapsed="false">
      <c r="AV97" s="29"/>
      <c r="BF97" s="29"/>
    </row>
    <row r="98" customFormat="false" ht="13.8" hidden="false" customHeight="false" outlineLevel="0" collapsed="false">
      <c r="AV98" s="29"/>
      <c r="BF98" s="29"/>
    </row>
    <row r="99" customFormat="false" ht="13.8" hidden="false" customHeight="false" outlineLevel="0" collapsed="false">
      <c r="AV99" s="29"/>
    </row>
    <row r="100" customFormat="false" ht="13.8" hidden="false" customHeight="false" outlineLevel="0" collapsed="false">
      <c r="AV100" s="29"/>
    </row>
    <row r="101" customFormat="false" ht="13.8" hidden="false" customHeight="false" outlineLevel="0" collapsed="false">
      <c r="AV101" s="29"/>
    </row>
    <row r="102" customFormat="false" ht="13.8" hidden="false" customHeight="false" outlineLevel="0" collapsed="false">
      <c r="AV102" s="29"/>
    </row>
    <row r="103" customFormat="false" ht="13.8" hidden="false" customHeight="false" outlineLevel="0" collapsed="false">
      <c r="AV103" s="29"/>
    </row>
    <row r="104" customFormat="false" ht="13.8" hidden="false" customHeight="false" outlineLevel="0" collapsed="false">
      <c r="AV104" s="29"/>
    </row>
    <row r="105" customFormat="false" ht="13.8" hidden="false" customHeight="false" outlineLevel="0" collapsed="false">
      <c r="AV105" s="29"/>
    </row>
    <row r="106" customFormat="false" ht="13.8" hidden="false" customHeight="false" outlineLevel="0" collapsed="false">
      <c r="AV106" s="29"/>
    </row>
    <row r="107" customFormat="false" ht="13.8" hidden="false" customHeight="false" outlineLevel="0" collapsed="false">
      <c r="AV107" s="29"/>
    </row>
    <row r="108" customFormat="false" ht="13.8" hidden="false" customHeight="false" outlineLevel="0" collapsed="false">
      <c r="AV108" s="29"/>
    </row>
    <row r="109" customFormat="false" ht="13.8" hidden="false" customHeight="false" outlineLevel="0" collapsed="false">
      <c r="AV109" s="29"/>
    </row>
    <row r="110" customFormat="false" ht="13.8" hidden="false" customHeight="false" outlineLevel="0" collapsed="false">
      <c r="AV110" s="29"/>
    </row>
    <row r="111" customFormat="false" ht="13.8" hidden="false" customHeight="false" outlineLevel="0" collapsed="false">
      <c r="AV111" s="29"/>
    </row>
    <row r="112" customFormat="false" ht="13.8" hidden="false" customHeight="false" outlineLevel="0" collapsed="false">
      <c r="AV112" s="29"/>
    </row>
    <row r="113" customFormat="false" ht="13.8" hidden="false" customHeight="false" outlineLevel="0" collapsed="false">
      <c r="AV113" s="29"/>
    </row>
    <row r="114" customFormat="false" ht="13.8" hidden="false" customHeight="false" outlineLevel="0" collapsed="false">
      <c r="AV114" s="29"/>
    </row>
    <row r="115" customFormat="false" ht="13.8" hidden="false" customHeight="false" outlineLevel="0" collapsed="false">
      <c r="AV115" s="29"/>
    </row>
    <row r="116" customFormat="false" ht="13.8" hidden="false" customHeight="false" outlineLevel="0" collapsed="false">
      <c r="AV116" s="29"/>
    </row>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2:BG89"/>
  <mergeCells count="1">
    <mergeCell ref="A1:O1"/>
  </mergeCells>
  <conditionalFormatting sqref="R4:AI79 R3:AH79">
    <cfRule type="expression" priority="2" aboveAverage="0" equalAverage="0" bottom="0" percent="0" rank="0" text="" dxfId="0">
      <formula>LEN(TRIM(R3))=0</formula>
    </cfRule>
    <cfRule type="cellIs" priority="3" operator="equal" aboveAverage="0" equalAverage="0" bottom="0" percent="0" rank="0" text="" dxfId="1">
      <formula>1</formula>
    </cfRule>
  </conditionalFormatting>
  <conditionalFormatting sqref="BF4:BF79 AV74:AV76 AV13:AV19 AX57:AX64 AX71:AX78 BB51:BB52 AZ51:AZ55 BD42:BD58 AX4:AX10 AV5:AV8 BB3:BB10 AX46:AX52 AX84:AX86 BD63:BD65 AZ77:AZ78 AV40:AV54 AV58:AV70 BD29:BD38 BD19:BD25 BD10:BD15 AZ4:AZ10 BB15:BB22 AZ23:AZ35 AX31:AX41 AV26:AV35 BD84:BD85 AX22:AX27 AX18 BD4:BD6 AZ61:AZ65 AZ86:AZ88">
    <cfRule type="containsText" priority="4" operator="containsText" aboveAverage="0" equalAverage="0" bottom="0" percent="0" rank="0" text="NA" dxfId="2"/>
    <cfRule type="containsText" priority="5" operator="containsText" aboveAverage="0" equalAverage="0" bottom="0" percent="0" rank="0" text="Not Done" dxfId="3"/>
    <cfRule type="containsText" priority="6" operator="containsText" aboveAverage="0" equalAverage="0" bottom="0" percent="0" rank="0" text="Ongoing" dxfId="4"/>
    <cfRule type="containsText" priority="7" operator="containsText" aboveAverage="0" equalAverage="0" bottom="0" percent="0" rank="0" text="Complete" dxfId="5"/>
  </conditionalFormatting>
  <conditionalFormatting sqref="R80:AI89">
    <cfRule type="expression" priority="8" aboveAverage="0" equalAverage="0" bottom="0" percent="0" rank="0" text="" dxfId="6">
      <formula>LEN(TRIM(R80))=0</formula>
    </cfRule>
    <cfRule type="cellIs" priority="9" operator="equal" aboveAverage="0" equalAverage="0" bottom="0" percent="0" rank="0" text="" dxfId="7">
      <formula>1</formula>
    </cfRule>
  </conditionalFormatting>
  <conditionalFormatting sqref="AI3">
    <cfRule type="expression" priority="10" aboveAverage="0" equalAverage="0" bottom="0" percent="0" rank="0" text="" dxfId="0">
      <formula>LEN(TRIM(AI3))=0</formula>
    </cfRule>
    <cfRule type="cellIs" priority="11" operator="equal" aboveAverage="0" equalAverage="0" bottom="0" percent="0" rank="0" text="" dxfId="1">
      <formula>1</formula>
    </cfRule>
  </conditionalFormatting>
  <conditionalFormatting sqref="AV74:AV76 AV13:AV19 AV3:AV8 AV40:AV54 AV58:AV70 AV26:AV35">
    <cfRule type="containsText" priority="12" operator="containsText" aboveAverage="0" equalAverage="0" bottom="0" percent="0" rank="0" text="NA" dxfId="2"/>
    <cfRule type="containsText" priority="13" operator="containsText" aboveAverage="0" equalAverage="0" bottom="0" percent="0" rank="0" text="Not Done" dxfId="3"/>
    <cfRule type="containsText" priority="14" operator="containsText" aboveAverage="0" equalAverage="0" bottom="0" percent="0" rank="0" text="Ongoing" dxfId="4"/>
    <cfRule type="containsText" priority="15" operator="containsText" aboveAverage="0" equalAverage="0" bottom="0" percent="0" rank="0" text="Complete" dxfId="5"/>
  </conditionalFormatting>
  <conditionalFormatting sqref="AX71:AX78 AX57:AX64 AX4:AX10 AX46:AX52 AX31:AX41 AX22:AX27 AX18">
    <cfRule type="containsText" priority="16" operator="containsText" aboveAverage="0" equalAverage="0" bottom="0" percent="0" rank="0" text="NA" dxfId="2"/>
    <cfRule type="containsText" priority="17" operator="containsText" aboveAverage="0" equalAverage="0" bottom="0" percent="0" rank="0" text="Not Done" dxfId="3"/>
    <cfRule type="containsText" priority="18" operator="containsText" aboveAverage="0" equalAverage="0" bottom="0" percent="0" rank="0" text="Ongoing" dxfId="4"/>
    <cfRule type="containsText" priority="19" operator="containsText" aboveAverage="0" equalAverage="0" bottom="0" percent="0" rank="0" text="Complete" dxfId="5"/>
  </conditionalFormatting>
  <conditionalFormatting sqref="AX71:AX78 AX57:AX64 AX4:AX10 AX46:AX52 AX31:AX41 AX22:AX27 AX18">
    <cfRule type="containsText" priority="20" operator="containsText" aboveAverage="0" equalAverage="0" bottom="0" percent="0" rank="0" text="NA" dxfId="2"/>
    <cfRule type="containsText" priority="21" operator="containsText" aboveAverage="0" equalAverage="0" bottom="0" percent="0" rank="0" text="Not Done" dxfId="3"/>
    <cfRule type="containsText" priority="22" operator="containsText" aboveAverage="0" equalAverage="0" bottom="0" percent="0" rank="0" text="Ongoing" dxfId="4"/>
    <cfRule type="containsText" priority="23" operator="containsText" aboveAverage="0" equalAverage="0" bottom="0" percent="0" rank="0" text="Complete" dxfId="5"/>
  </conditionalFormatting>
  <conditionalFormatting sqref="BD63:BD65 BD42:BD58 BD29:BD38 BD19:BD25 BD10:BD15 BD4:BD6">
    <cfRule type="containsText" priority="24" operator="containsText" aboveAverage="0" equalAverage="0" bottom="0" percent="0" rank="0" text="NA" dxfId="2"/>
    <cfRule type="containsText" priority="25" operator="containsText" aboveAverage="0" equalAverage="0" bottom="0" percent="0" rank="0" text="Not Done" dxfId="3"/>
    <cfRule type="containsText" priority="26" operator="containsText" aboveAverage="0" equalAverage="0" bottom="0" percent="0" rank="0" text="Ongoing" dxfId="4"/>
    <cfRule type="containsText" priority="27" operator="containsText" aboveAverage="0" equalAverage="0" bottom="0" percent="0" rank="0" text="Complete" dxfId="5"/>
  </conditionalFormatting>
  <conditionalFormatting sqref="BD63:BD65 BD42:BD58 BD29:BD38 BD19:BD25 BD10:BD15 BD3:BD6">
    <cfRule type="containsText" priority="28" operator="containsText" aboveAverage="0" equalAverage="0" bottom="0" percent="0" rank="0" text="NA" dxfId="2"/>
    <cfRule type="containsText" priority="29" operator="containsText" aboveAverage="0" equalAverage="0" bottom="0" percent="0" rank="0" text="Not Done" dxfId="3"/>
    <cfRule type="containsText" priority="30" operator="containsText" aboveAverage="0" equalAverage="0" bottom="0" percent="0" rank="0" text="Ongoing" dxfId="4"/>
    <cfRule type="containsText" priority="31" operator="containsText" aboveAverage="0" equalAverage="0" bottom="0" percent="0" rank="0" text="Complete" dxfId="5"/>
  </conditionalFormatting>
  <conditionalFormatting sqref="BD63:BD65 BD42:BD58 BD29:BD38 BD19:BD25 BD10:BD15 BD3:BD6">
    <cfRule type="containsText" priority="32" operator="containsText" aboveAverage="0" equalAverage="0" bottom="0" percent="0" rank="0" text="NA" dxfId="2"/>
    <cfRule type="containsText" priority="33" operator="containsText" aboveAverage="0" equalAverage="0" bottom="0" percent="0" rank="0" text="Not Done" dxfId="3"/>
    <cfRule type="containsText" priority="34" operator="containsText" aboveAverage="0" equalAverage="0" bottom="0" percent="0" rank="0" text="Ongoing" dxfId="4"/>
    <cfRule type="containsText" priority="35" operator="containsText" aboveAverage="0" equalAverage="0" bottom="0" percent="0" rank="0" text="Complete" dxfId="5"/>
  </conditionalFormatting>
  <conditionalFormatting sqref="AV90:AV116 AV77:AV78 AV85:AV87">
    <cfRule type="containsText" priority="36" operator="containsText" aboveAverage="0" equalAverage="0" bottom="0" percent="0" rank="0" text="NA" dxfId="2"/>
    <cfRule type="containsText" priority="37" operator="containsText" aboveAverage="0" equalAverage="0" bottom="0" percent="0" rank="0" text="Not Done" dxfId="3"/>
    <cfRule type="containsText" priority="38" operator="containsText" aboveAverage="0" equalAverage="0" bottom="0" percent="0" rank="0" text="Ongoing" dxfId="4"/>
    <cfRule type="containsText" priority="39" operator="containsText" aboveAverage="0" equalAverage="0" bottom="0" percent="0" rank="0" text="Complete" dxfId="5"/>
  </conditionalFormatting>
  <conditionalFormatting sqref="AV20:AV25">
    <cfRule type="containsText" priority="40" operator="containsText" aboveAverage="0" equalAverage="0" bottom="0" percent="0" rank="0" text="NA" dxfId="2"/>
    <cfRule type="containsText" priority="41" operator="containsText" aboveAverage="0" equalAverage="0" bottom="0" percent="0" rank="0" text="Not Done" dxfId="3"/>
    <cfRule type="containsText" priority="42" operator="containsText" aboveAverage="0" equalAverage="0" bottom="0" percent="0" rank="0" text="Ongoing" dxfId="4"/>
    <cfRule type="containsText" priority="43" operator="containsText" aboveAverage="0" equalAverage="0" bottom="0" percent="0" rank="0" text="Complete" dxfId="5"/>
  </conditionalFormatting>
  <conditionalFormatting sqref="AX3:AX8">
    <cfRule type="containsText" priority="44" operator="containsText" aboveAverage="0" equalAverage="0" bottom="0" percent="0" rank="0" text="NA" dxfId="2"/>
    <cfRule type="containsText" priority="45" operator="containsText" aboveAverage="0" equalAverage="0" bottom="0" percent="0" rank="0" text="Not Done" dxfId="3"/>
    <cfRule type="containsText" priority="46" operator="containsText" aboveAverage="0" equalAverage="0" bottom="0" percent="0" rank="0" text="Ongoing" dxfId="4"/>
    <cfRule type="containsText" priority="47" operator="containsText" aboveAverage="0" equalAverage="0" bottom="0" percent="0" rank="0" text="Complete" dxfId="5"/>
  </conditionalFormatting>
  <conditionalFormatting sqref="AZ40:AZ50">
    <cfRule type="containsText" priority="48" operator="containsText" aboveAverage="0" equalAverage="0" bottom="0" percent="0" rank="0" text="NA" dxfId="2"/>
    <cfRule type="containsText" priority="49" operator="containsText" aboveAverage="0" equalAverage="0" bottom="0" percent="0" rank="0" text="Not Done" dxfId="3"/>
    <cfRule type="containsText" priority="50" operator="containsText" aboveAverage="0" equalAverage="0" bottom="0" percent="0" rank="0" text="Ongoing" dxfId="4"/>
    <cfRule type="containsText" priority="51" operator="containsText" aboveAverage="0" equalAverage="0" bottom="0" percent="0" rank="0" text="Complete" dxfId="5"/>
  </conditionalFormatting>
  <conditionalFormatting sqref="AX65:AX70">
    <cfRule type="containsText" priority="52" operator="containsText" aboveAverage="0" equalAverage="0" bottom="0" percent="0" rank="0" text="NA" dxfId="2"/>
    <cfRule type="containsText" priority="53" operator="containsText" aboveAverage="0" equalAverage="0" bottom="0" percent="0" rank="0" text="Not Done" dxfId="3"/>
    <cfRule type="containsText" priority="54" operator="containsText" aboveAverage="0" equalAverage="0" bottom="0" percent="0" rank="0" text="Ongoing" dxfId="4"/>
    <cfRule type="containsText" priority="55" operator="containsText" aboveAverage="0" equalAverage="0" bottom="0" percent="0" rank="0" text="Complete" dxfId="5"/>
  </conditionalFormatting>
  <conditionalFormatting sqref="AV79:AV84">
    <cfRule type="containsText" priority="56" operator="containsText" aboveAverage="0" equalAverage="0" bottom="0" percent="0" rank="0" text="NA" dxfId="2"/>
    <cfRule type="containsText" priority="57" operator="containsText" aboveAverage="0" equalAverage="0" bottom="0" percent="0" rank="0" text="Not Done" dxfId="3"/>
    <cfRule type="containsText" priority="58" operator="containsText" aboveAverage="0" equalAverage="0" bottom="0" percent="0" rank="0" text="Ongoing" dxfId="4"/>
    <cfRule type="containsText" priority="59" operator="containsText" aboveAverage="0" equalAverage="0" bottom="0" percent="0" rank="0" text="Complete" dxfId="5"/>
  </conditionalFormatting>
  <conditionalFormatting sqref="AX79:AX83">
    <cfRule type="containsText" priority="60" operator="containsText" aboveAverage="0" equalAverage="0" bottom="0" percent="0" rank="0" text="NA" dxfId="2"/>
    <cfRule type="containsText" priority="61" operator="containsText" aboveAverage="0" equalAverage="0" bottom="0" percent="0" rank="0" text="Not Done" dxfId="3"/>
    <cfRule type="containsText" priority="62" operator="containsText" aboveAverage="0" equalAverage="0" bottom="0" percent="0" rank="0" text="Ongoing" dxfId="4"/>
    <cfRule type="containsText" priority="63" operator="containsText" aboveAverage="0" equalAverage="0" bottom="0" percent="0" rank="0" text="Complete" dxfId="5"/>
  </conditionalFormatting>
  <conditionalFormatting sqref="AZ73:AZ75">
    <cfRule type="containsText" priority="64" operator="containsText" aboveAverage="0" equalAverage="0" bottom="0" percent="0" rank="0" text="NA" dxfId="2"/>
    <cfRule type="containsText" priority="65" operator="containsText" aboveAverage="0" equalAverage="0" bottom="0" percent="0" rank="0" text="Not Done" dxfId="3"/>
    <cfRule type="containsText" priority="66" operator="containsText" aboveAverage="0" equalAverage="0" bottom="0" percent="0" rank="0" text="Ongoing" dxfId="4"/>
    <cfRule type="containsText" priority="67" operator="containsText" aboveAverage="0" equalAverage="0" bottom="0" percent="0" rank="0" text="Complete" dxfId="5"/>
  </conditionalFormatting>
  <conditionalFormatting sqref="BB88:BB89">
    <cfRule type="containsText" priority="68" operator="containsText" aboveAverage="0" equalAverage="0" bottom="0" percent="0" rank="0" text="NA" dxfId="2"/>
    <cfRule type="containsText" priority="69" operator="containsText" aboveAverage="0" equalAverage="0" bottom="0" percent="0" rank="0" text="Not Done" dxfId="3"/>
    <cfRule type="containsText" priority="70" operator="containsText" aboveAverage="0" equalAverage="0" bottom="0" percent="0" rank="0" text="Ongoing" dxfId="4"/>
    <cfRule type="containsText" priority="71" operator="containsText" aboveAverage="0" equalAverage="0" bottom="0" percent="0" rank="0" text="Complete" dxfId="5"/>
  </conditionalFormatting>
  <conditionalFormatting sqref="BD71:BD74">
    <cfRule type="containsText" priority="72" operator="containsText" aboveAverage="0" equalAverage="0" bottom="0" percent="0" rank="0" text="NA" dxfId="2"/>
    <cfRule type="containsText" priority="73" operator="containsText" aboveAverage="0" equalAverage="0" bottom="0" percent="0" rank="0" text="Not Done" dxfId="3"/>
    <cfRule type="containsText" priority="74" operator="containsText" aboveAverage="0" equalAverage="0" bottom="0" percent="0" rank="0" text="Ongoing" dxfId="4"/>
    <cfRule type="containsText" priority="75" operator="containsText" aboveAverage="0" equalAverage="0" bottom="0" percent="0" rank="0" text="Complete" dxfId="5"/>
  </conditionalFormatting>
  <conditionalFormatting sqref="BB57">
    <cfRule type="containsText" priority="76" operator="containsText" aboveAverage="0" equalAverage="0" bottom="0" percent="0" rank="0" text="NA" dxfId="2"/>
    <cfRule type="containsText" priority="77" operator="containsText" aboveAverage="0" equalAverage="0" bottom="0" percent="0" rank="0" text="Not Done" dxfId="3"/>
    <cfRule type="containsText" priority="78" operator="containsText" aboveAverage="0" equalAverage="0" bottom="0" percent="0" rank="0" text="Ongoing" dxfId="4"/>
    <cfRule type="containsText" priority="79" operator="containsText" aboveAverage="0" equalAverage="0" bottom="0" percent="0" rank="0" text="Complete" dxfId="5"/>
  </conditionalFormatting>
  <conditionalFormatting sqref="AZ56:AZ60">
    <cfRule type="containsText" priority="80" operator="containsText" aboveAverage="0" equalAverage="0" bottom="0" percent="0" rank="0" text="NA" dxfId="2"/>
    <cfRule type="containsText" priority="81" operator="containsText" aboveAverage="0" equalAverage="0" bottom="0" percent="0" rank="0" text="Not Done" dxfId="3"/>
    <cfRule type="containsText" priority="82" operator="containsText" aboveAverage="0" equalAverage="0" bottom="0" percent="0" rank="0" text="Ongoing" dxfId="4"/>
    <cfRule type="containsText" priority="83" operator="containsText" aboveAverage="0" equalAverage="0" bottom="0" percent="0" rank="0" text="Complete" dxfId="5"/>
  </conditionalFormatting>
  <conditionalFormatting sqref="AZ56:AZ60">
    <cfRule type="containsText" priority="84" operator="containsText" aboveAverage="0" equalAverage="0" bottom="0" percent="0" rank="0" text="NA" dxfId="2"/>
    <cfRule type="containsText" priority="85" operator="containsText" aboveAverage="0" equalAverage="0" bottom="0" percent="0" rank="0" text="Not Done" dxfId="3"/>
    <cfRule type="containsText" priority="86" operator="containsText" aboveAverage="0" equalAverage="0" bottom="0" percent="0" rank="0" text="Ongoing" dxfId="4"/>
    <cfRule type="containsText" priority="87" operator="containsText" aboveAverage="0" equalAverage="0" bottom="0" percent="0" rank="0" text="Complete" dxfId="5"/>
  </conditionalFormatting>
  <conditionalFormatting sqref="AZ56:AZ60">
    <cfRule type="containsText" priority="88" operator="containsText" aboveAverage="0" equalAverage="0" bottom="0" percent="0" rank="0" text="NA" dxfId="2"/>
    <cfRule type="containsText" priority="89" operator="containsText" aboveAverage="0" equalAverage="0" bottom="0" percent="0" rank="0" text="Not Done" dxfId="3"/>
    <cfRule type="containsText" priority="90" operator="containsText" aboveAverage="0" equalAverage="0" bottom="0" percent="0" rank="0" text="Ongoing" dxfId="4"/>
    <cfRule type="containsText" priority="91" operator="containsText" aboveAverage="0" equalAverage="0" bottom="0" percent="0" rank="0" text="Complete" dxfId="5"/>
  </conditionalFormatting>
  <conditionalFormatting sqref="BB56:BB57">
    <cfRule type="containsText" priority="92" operator="containsText" aboveAverage="0" equalAverage="0" bottom="0" percent="0" rank="0" text="NA" dxfId="2"/>
    <cfRule type="containsText" priority="93" operator="containsText" aboveAverage="0" equalAverage="0" bottom="0" percent="0" rank="0" text="Not Done" dxfId="3"/>
    <cfRule type="containsText" priority="94" operator="containsText" aboveAverage="0" equalAverage="0" bottom="0" percent="0" rank="0" text="Ongoing" dxfId="4"/>
    <cfRule type="containsText" priority="95" operator="containsText" aboveAverage="0" equalAverage="0" bottom="0" percent="0" rank="0" text="Complete" dxfId="5"/>
  </conditionalFormatting>
  <conditionalFormatting sqref="BB56:BB57">
    <cfRule type="containsText" priority="96" operator="containsText" aboveAverage="0" equalAverage="0" bottom="0" percent="0" rank="0" text="NA" dxfId="2"/>
    <cfRule type="containsText" priority="97" operator="containsText" aboveAverage="0" equalAverage="0" bottom="0" percent="0" rank="0" text="Not Done" dxfId="3"/>
    <cfRule type="containsText" priority="98" operator="containsText" aboveAverage="0" equalAverage="0" bottom="0" percent="0" rank="0" text="Ongoing" dxfId="4"/>
    <cfRule type="containsText" priority="99" operator="containsText" aboveAverage="0" equalAverage="0" bottom="0" percent="0" rank="0" text="Complete" dxfId="5"/>
  </conditionalFormatting>
  <conditionalFormatting sqref="BB56:BB57">
    <cfRule type="containsText" priority="100" operator="containsText" aboveAverage="0" equalAverage="0" bottom="0" percent="0" rank="0" text="NA" dxfId="2"/>
    <cfRule type="containsText" priority="101" operator="containsText" aboveAverage="0" equalAverage="0" bottom="0" percent="0" rank="0" text="Not Done" dxfId="3"/>
    <cfRule type="containsText" priority="102" operator="containsText" aboveAverage="0" equalAverage="0" bottom="0" percent="0" rank="0" text="Ongoing" dxfId="4"/>
    <cfRule type="containsText" priority="103" operator="containsText" aboveAverage="0" equalAverage="0" bottom="0" percent="0" rank="0" text="Complete" dxfId="5"/>
  </conditionalFormatting>
  <conditionalFormatting sqref="BD59:BD61">
    <cfRule type="containsText" priority="104" operator="containsText" aboveAverage="0" equalAverage="0" bottom="0" percent="0" rank="0" text="NA" dxfId="2"/>
    <cfRule type="containsText" priority="105" operator="containsText" aboveAverage="0" equalAverage="0" bottom="0" percent="0" rank="0" text="Not Done" dxfId="3"/>
    <cfRule type="containsText" priority="106" operator="containsText" aboveAverage="0" equalAverage="0" bottom="0" percent="0" rank="0" text="Ongoing" dxfId="4"/>
    <cfRule type="containsText" priority="107" operator="containsText" aboveAverage="0" equalAverage="0" bottom="0" percent="0" rank="0" text="Complete" dxfId="5"/>
  </conditionalFormatting>
  <conditionalFormatting sqref="BD59:BD61">
    <cfRule type="containsText" priority="108" operator="containsText" aboveAverage="0" equalAverage="0" bottom="0" percent="0" rank="0" text="NA" dxfId="2"/>
    <cfRule type="containsText" priority="109" operator="containsText" aboveAverage="0" equalAverage="0" bottom="0" percent="0" rank="0" text="Not Done" dxfId="3"/>
    <cfRule type="containsText" priority="110" operator="containsText" aboveAverage="0" equalAverage="0" bottom="0" percent="0" rank="0" text="Ongoing" dxfId="4"/>
    <cfRule type="containsText" priority="111" operator="containsText" aboveAverage="0" equalAverage="0" bottom="0" percent="0" rank="0" text="Complete" dxfId="5"/>
  </conditionalFormatting>
  <conditionalFormatting sqref="BD59:BD61">
    <cfRule type="containsText" priority="112" operator="containsText" aboveAverage="0" equalAverage="0" bottom="0" percent="0" rank="0" text="NA" dxfId="2"/>
    <cfRule type="containsText" priority="113" operator="containsText" aboveAverage="0" equalAverage="0" bottom="0" percent="0" rank="0" text="Not Done" dxfId="3"/>
    <cfRule type="containsText" priority="114" operator="containsText" aboveAverage="0" equalAverage="0" bottom="0" percent="0" rank="0" text="Ongoing" dxfId="4"/>
    <cfRule type="containsText" priority="115" operator="containsText" aboveAverage="0" equalAverage="0" bottom="0" percent="0" rank="0" text="Complete" dxfId="5"/>
  </conditionalFormatting>
  <conditionalFormatting sqref="BB81:BB86">
    <cfRule type="containsText" priority="116" operator="containsText" aboveAverage="0" equalAverage="0" bottom="0" percent="0" rank="0" text="NA" dxfId="2"/>
    <cfRule type="containsText" priority="117" operator="containsText" aboveAverage="0" equalAverage="0" bottom="0" percent="0" rank="0" text="Not Done" dxfId="3"/>
    <cfRule type="containsText" priority="118" operator="containsText" aboveAverage="0" equalAverage="0" bottom="0" percent="0" rank="0" text="Ongoing" dxfId="4"/>
    <cfRule type="containsText" priority="119" operator="containsText" aboveAverage="0" equalAverage="0" bottom="0" percent="0" rank="0" text="Complete" dxfId="5"/>
  </conditionalFormatting>
  <conditionalFormatting sqref="BB81:BB86">
    <cfRule type="containsText" priority="120" operator="containsText" aboveAverage="0" equalAverage="0" bottom="0" percent="0" rank="0" text="NA" dxfId="2"/>
    <cfRule type="containsText" priority="121" operator="containsText" aboveAverage="0" equalAverage="0" bottom="0" percent="0" rank="0" text="Not Done" dxfId="3"/>
    <cfRule type="containsText" priority="122" operator="containsText" aboveAverage="0" equalAverage="0" bottom="0" percent="0" rank="0" text="Ongoing" dxfId="4"/>
    <cfRule type="containsText" priority="123" operator="containsText" aboveAverage="0" equalAverage="0" bottom="0" percent="0" rank="0" text="Complete" dxfId="5"/>
  </conditionalFormatting>
  <conditionalFormatting sqref="BB81:BB86">
    <cfRule type="containsText" priority="124" operator="containsText" aboveAverage="0" equalAverage="0" bottom="0" percent="0" rank="0" text="NA" dxfId="2"/>
    <cfRule type="containsText" priority="125" operator="containsText" aboveAverage="0" equalAverage="0" bottom="0" percent="0" rank="0" text="Not Done" dxfId="3"/>
    <cfRule type="containsText" priority="126" operator="containsText" aboveAverage="0" equalAverage="0" bottom="0" percent="0" rank="0" text="Ongoing" dxfId="4"/>
    <cfRule type="containsText" priority="127" operator="containsText" aboveAverage="0" equalAverage="0" bottom="0" percent="0" rank="0" text="Complete" dxfId="5"/>
  </conditionalFormatting>
  <conditionalFormatting sqref="AV88:AV89">
    <cfRule type="containsText" priority="128" operator="containsText" aboveAverage="0" equalAverage="0" bottom="0" percent="0" rank="0" text="NA" dxfId="2"/>
    <cfRule type="containsText" priority="129" operator="containsText" aboveAverage="0" equalAverage="0" bottom="0" percent="0" rank="0" text="Not Done" dxfId="3"/>
    <cfRule type="containsText" priority="130" operator="containsText" aboveAverage="0" equalAverage="0" bottom="0" percent="0" rank="0" text="Ongoing" dxfId="4"/>
    <cfRule type="containsText" priority="131" operator="containsText" aboveAverage="0" equalAverage="0" bottom="0" percent="0" rank="0" text="Complete" dxfId="5"/>
  </conditionalFormatting>
  <conditionalFormatting sqref="AV88:AV89">
    <cfRule type="containsText" priority="132" operator="containsText" aboveAverage="0" equalAverage="0" bottom="0" percent="0" rank="0" text="NA" dxfId="2"/>
    <cfRule type="containsText" priority="133" operator="containsText" aboveAverage="0" equalAverage="0" bottom="0" percent="0" rank="0" text="Not Done" dxfId="3"/>
    <cfRule type="containsText" priority="134" operator="containsText" aboveAverage="0" equalAverage="0" bottom="0" percent="0" rank="0" text="Ongoing" dxfId="4"/>
    <cfRule type="containsText" priority="135" operator="containsText" aboveAverage="0" equalAverage="0" bottom="0" percent="0" rank="0" text="Complete" dxfId="5"/>
  </conditionalFormatting>
  <conditionalFormatting sqref="AV88:AV89">
    <cfRule type="containsText" priority="136" operator="containsText" aboveAverage="0" equalAverage="0" bottom="0" percent="0" rank="0" text="NA" dxfId="2"/>
    <cfRule type="containsText" priority="137" operator="containsText" aboveAverage="0" equalAverage="0" bottom="0" percent="0" rank="0" text="Not Done" dxfId="3"/>
    <cfRule type="containsText" priority="138" operator="containsText" aboveAverage="0" equalAverage="0" bottom="0" percent="0" rank="0" text="Ongoing" dxfId="4"/>
    <cfRule type="containsText" priority="139" operator="containsText" aboveAverage="0" equalAverage="0" bottom="0" percent="0" rank="0" text="Complete" dxfId="5"/>
  </conditionalFormatting>
  <conditionalFormatting sqref="AX12:AX17">
    <cfRule type="containsText" priority="140" operator="containsText" aboveAverage="0" equalAverage="0" bottom="0" percent="0" rank="0" text="NA" dxfId="2"/>
    <cfRule type="containsText" priority="141" operator="containsText" aboveAverage="0" equalAverage="0" bottom="0" percent="0" rank="0" text="Not Done" dxfId="3"/>
    <cfRule type="containsText" priority="142" operator="containsText" aboveAverage="0" equalAverage="0" bottom="0" percent="0" rank="0" text="Ongoing" dxfId="4"/>
    <cfRule type="containsText" priority="143" operator="containsText" aboveAverage="0" equalAverage="0" bottom="0" percent="0" rank="0" text="Complete" dxfId="5"/>
  </conditionalFormatting>
  <conditionalFormatting sqref="AV9:AV12">
    <cfRule type="containsText" priority="144" operator="containsText" aboveAverage="0" equalAverage="0" bottom="0" percent="0" rank="0" text="NA" dxfId="2"/>
    <cfRule type="containsText" priority="145" operator="containsText" aboveAverage="0" equalAverage="0" bottom="0" percent="0" rank="0" text="Not Done" dxfId="3"/>
    <cfRule type="containsText" priority="146" operator="containsText" aboveAverage="0" equalAverage="0" bottom="0" percent="0" rank="0" text="Ongoing" dxfId="4"/>
    <cfRule type="containsText" priority="147" operator="containsText" aboveAverage="0" equalAverage="0" bottom="0" percent="0" rank="0" text="Complete" dxfId="5"/>
  </conditionalFormatting>
  <conditionalFormatting sqref="BB11:BB14">
    <cfRule type="containsText" priority="148" operator="containsText" aboveAverage="0" equalAverage="0" bottom="0" percent="0" rank="0" text="NA" dxfId="2"/>
    <cfRule type="containsText" priority="149" operator="containsText" aboveAverage="0" equalAverage="0" bottom="0" percent="0" rank="0" text="Not Done" dxfId="3"/>
    <cfRule type="containsText" priority="150" operator="containsText" aboveAverage="0" equalAverage="0" bottom="0" percent="0" rank="0" text="Ongoing" dxfId="4"/>
    <cfRule type="containsText" priority="151" operator="containsText" aboveAverage="0" equalAverage="0" bottom="0" percent="0" rank="0" text="Complete" dxfId="5"/>
  </conditionalFormatting>
  <conditionalFormatting sqref="AX53:AX56">
    <cfRule type="containsText" priority="152" operator="containsText" aboveAverage="0" equalAverage="0" bottom="0" percent="0" rank="0" text="NA" dxfId="2"/>
    <cfRule type="containsText" priority="153" operator="containsText" aboveAverage="0" equalAverage="0" bottom="0" percent="0" rank="0" text="Not Done" dxfId="3"/>
    <cfRule type="containsText" priority="154" operator="containsText" aboveAverage="0" equalAverage="0" bottom="0" percent="0" rank="0" text="Ongoing" dxfId="4"/>
    <cfRule type="containsText" priority="155" operator="containsText" aboveAverage="0" equalAverage="0" bottom="0" percent="0" rank="0" text="Complete" dxfId="5"/>
  </conditionalFormatting>
  <conditionalFormatting sqref="AX87:AX89">
    <cfRule type="containsText" priority="156" operator="containsText" aboveAverage="0" equalAverage="0" bottom="0" percent="0" rank="0" text="NA" dxfId="2"/>
    <cfRule type="containsText" priority="157" operator="containsText" aboveAverage="0" equalAverage="0" bottom="0" percent="0" rank="0" text="Not Done" dxfId="3"/>
    <cfRule type="containsText" priority="158" operator="containsText" aboveAverage="0" equalAverage="0" bottom="0" percent="0" rank="0" text="Ongoing" dxfId="4"/>
    <cfRule type="containsText" priority="159" operator="containsText" aboveAverage="0" equalAverage="0" bottom="0" percent="0" rank="0" text="Complete" dxfId="5"/>
  </conditionalFormatting>
  <conditionalFormatting sqref="AZ81">
    <cfRule type="containsText" priority="160" operator="containsText" aboveAverage="0" equalAverage="0" bottom="0" percent="0" rank="0" text="NA" dxfId="2"/>
    <cfRule type="containsText" priority="161" operator="containsText" aboveAverage="0" equalAverage="0" bottom="0" percent="0" rank="0" text="Not Done" dxfId="3"/>
    <cfRule type="containsText" priority="162" operator="containsText" aboveAverage="0" equalAverage="0" bottom="0" percent="0" rank="0" text="Ongoing" dxfId="4"/>
    <cfRule type="containsText" priority="163" operator="containsText" aboveAverage="0" equalAverage="0" bottom="0" percent="0" rank="0" text="Complete" dxfId="5"/>
  </conditionalFormatting>
  <conditionalFormatting sqref="AZ81">
    <cfRule type="containsText" priority="164" operator="containsText" aboveAverage="0" equalAverage="0" bottom="0" percent="0" rank="0" text="NA" dxfId="2"/>
    <cfRule type="containsText" priority="165" operator="containsText" aboveAverage="0" equalAverage="0" bottom="0" percent="0" rank="0" text="Not Done" dxfId="3"/>
    <cfRule type="containsText" priority="166" operator="containsText" aboveAverage="0" equalAverage="0" bottom="0" percent="0" rank="0" text="Ongoing" dxfId="4"/>
    <cfRule type="containsText" priority="167" operator="containsText" aboveAverage="0" equalAverage="0" bottom="0" percent="0" rank="0" text="Complete" dxfId="5"/>
  </conditionalFormatting>
  <conditionalFormatting sqref="AZ81">
    <cfRule type="containsText" priority="168" operator="containsText" aboveAverage="0" equalAverage="0" bottom="0" percent="0" rank="0" text="NA" dxfId="2"/>
    <cfRule type="containsText" priority="169" operator="containsText" aboveAverage="0" equalAverage="0" bottom="0" percent="0" rank="0" text="Not Done" dxfId="3"/>
    <cfRule type="containsText" priority="170" operator="containsText" aboveAverage="0" equalAverage="0" bottom="0" percent="0" rank="0" text="Ongoing" dxfId="4"/>
    <cfRule type="containsText" priority="171" operator="containsText" aboveAverage="0" equalAverage="0" bottom="0" percent="0" rank="0" text="Complete" dxfId="5"/>
  </conditionalFormatting>
  <conditionalFormatting sqref="AZ76:AZ78">
    <cfRule type="containsText" priority="172" operator="containsText" aboveAverage="0" equalAverage="0" bottom="0" percent="0" rank="0" text="NA" dxfId="2"/>
    <cfRule type="containsText" priority="173" operator="containsText" aboveAverage="0" equalAverage="0" bottom="0" percent="0" rank="0" text="Not Done" dxfId="3"/>
    <cfRule type="containsText" priority="174" operator="containsText" aboveAverage="0" equalAverage="0" bottom="0" percent="0" rank="0" text="Ongoing" dxfId="4"/>
    <cfRule type="containsText" priority="175" operator="containsText" aboveAverage="0" equalAverage="0" bottom="0" percent="0" rank="0" text="Complete" dxfId="5"/>
  </conditionalFormatting>
  <conditionalFormatting sqref="AZ76:AZ78">
    <cfRule type="containsText" priority="176" operator="containsText" aboveAverage="0" equalAverage="0" bottom="0" percent="0" rank="0" text="NA" dxfId="2"/>
    <cfRule type="containsText" priority="177" operator="containsText" aboveAverage="0" equalAverage="0" bottom="0" percent="0" rank="0" text="Not Done" dxfId="3"/>
    <cfRule type="containsText" priority="178" operator="containsText" aboveAverage="0" equalAverage="0" bottom="0" percent="0" rank="0" text="Ongoing" dxfId="4"/>
    <cfRule type="containsText" priority="179" operator="containsText" aboveAverage="0" equalAverage="0" bottom="0" percent="0" rank="0" text="Complete" dxfId="5"/>
  </conditionalFormatting>
  <conditionalFormatting sqref="AZ76:AZ78">
    <cfRule type="containsText" priority="180" operator="containsText" aboveAverage="0" equalAverage="0" bottom="0" percent="0" rank="0" text="NA" dxfId="2"/>
    <cfRule type="containsText" priority="181" operator="containsText" aboveAverage="0" equalAverage="0" bottom="0" percent="0" rank="0" text="Not Done" dxfId="3"/>
    <cfRule type="containsText" priority="182" operator="containsText" aboveAverage="0" equalAverage="0" bottom="0" percent="0" rank="0" text="Ongoing" dxfId="4"/>
    <cfRule type="containsText" priority="183" operator="containsText" aboveAverage="0" equalAverage="0" bottom="0" percent="0" rank="0" text="Complete" dxfId="5"/>
  </conditionalFormatting>
  <conditionalFormatting sqref="BD76:BD77">
    <cfRule type="containsText" priority="184" operator="containsText" aboveAverage="0" equalAverage="0" bottom="0" percent="0" rank="0" text="NA" dxfId="2"/>
    <cfRule type="containsText" priority="185" operator="containsText" aboveAverage="0" equalAverage="0" bottom="0" percent="0" rank="0" text="Not Done" dxfId="3"/>
    <cfRule type="containsText" priority="186" operator="containsText" aboveAverage="0" equalAverage="0" bottom="0" percent="0" rank="0" text="Ongoing" dxfId="4"/>
    <cfRule type="containsText" priority="187" operator="containsText" aboveAverage="0" equalAverage="0" bottom="0" percent="0" rank="0" text="Complete" dxfId="5"/>
  </conditionalFormatting>
  <conditionalFormatting sqref="BD76:BD77">
    <cfRule type="containsText" priority="188" operator="containsText" aboveAverage="0" equalAverage="0" bottom="0" percent="0" rank="0" text="NA" dxfId="2"/>
    <cfRule type="containsText" priority="189" operator="containsText" aboveAverage="0" equalAverage="0" bottom="0" percent="0" rank="0" text="Not Done" dxfId="3"/>
    <cfRule type="containsText" priority="190" operator="containsText" aboveAverage="0" equalAverage="0" bottom="0" percent="0" rank="0" text="Ongoing" dxfId="4"/>
    <cfRule type="containsText" priority="191" operator="containsText" aboveAverage="0" equalAverage="0" bottom="0" percent="0" rank="0" text="Complete" dxfId="5"/>
  </conditionalFormatting>
  <conditionalFormatting sqref="BD76:BD77">
    <cfRule type="containsText" priority="192" operator="containsText" aboveAverage="0" equalAverage="0" bottom="0" percent="0" rank="0" text="NA" dxfId="2"/>
    <cfRule type="containsText" priority="193" operator="containsText" aboveAverage="0" equalAverage="0" bottom="0" percent="0" rank="0" text="Not Done" dxfId="3"/>
    <cfRule type="containsText" priority="194" operator="containsText" aboveAverage="0" equalAverage="0" bottom="0" percent="0" rank="0" text="Ongoing" dxfId="4"/>
    <cfRule type="containsText" priority="195" operator="containsText" aboveAverage="0" equalAverage="0" bottom="0" percent="0" rank="0" text="Complete" dxfId="5"/>
  </conditionalFormatting>
  <conditionalFormatting sqref="BD66:BD68">
    <cfRule type="containsText" priority="196" operator="containsText" aboveAverage="0" equalAverage="0" bottom="0" percent="0" rank="0" text="NA" dxfId="2"/>
    <cfRule type="containsText" priority="197" operator="containsText" aboveAverage="0" equalAverage="0" bottom="0" percent="0" rank="0" text="Not Done" dxfId="3"/>
    <cfRule type="containsText" priority="198" operator="containsText" aboveAverage="0" equalAverage="0" bottom="0" percent="0" rank="0" text="Ongoing" dxfId="4"/>
    <cfRule type="containsText" priority="199" operator="containsText" aboveAverage="0" equalAverage="0" bottom="0" percent="0" rank="0" text="Complete" dxfId="5"/>
  </conditionalFormatting>
  <conditionalFormatting sqref="BD66:BD68">
    <cfRule type="containsText" priority="200" operator="containsText" aboveAverage="0" equalAverage="0" bottom="0" percent="0" rank="0" text="NA" dxfId="2"/>
    <cfRule type="containsText" priority="201" operator="containsText" aboveAverage="0" equalAverage="0" bottom="0" percent="0" rank="0" text="Not Done" dxfId="3"/>
    <cfRule type="containsText" priority="202" operator="containsText" aboveAverage="0" equalAverage="0" bottom="0" percent="0" rank="0" text="Ongoing" dxfId="4"/>
    <cfRule type="containsText" priority="203" operator="containsText" aboveAverage="0" equalAverage="0" bottom="0" percent="0" rank="0" text="Complete" dxfId="5"/>
  </conditionalFormatting>
  <conditionalFormatting sqref="BD66:BD68">
    <cfRule type="containsText" priority="204" operator="containsText" aboveAverage="0" equalAverage="0" bottom="0" percent="0" rank="0" text="NA" dxfId="2"/>
    <cfRule type="containsText" priority="205" operator="containsText" aboveAverage="0" equalAverage="0" bottom="0" percent="0" rank="0" text="Not Done" dxfId="3"/>
    <cfRule type="containsText" priority="206" operator="containsText" aboveAverage="0" equalAverage="0" bottom="0" percent="0" rank="0" text="Ongoing" dxfId="4"/>
    <cfRule type="containsText" priority="207" operator="containsText" aboveAverage="0" equalAverage="0" bottom="0" percent="0" rank="0" text="Complete" dxfId="5"/>
  </conditionalFormatting>
  <conditionalFormatting sqref="BB59:BB79">
    <cfRule type="containsText" priority="208" operator="containsText" aboveAverage="0" equalAverage="0" bottom="0" percent="0" rank="0" text="NA" dxfId="2"/>
    <cfRule type="containsText" priority="209" operator="containsText" aboveAverage="0" equalAverage="0" bottom="0" percent="0" rank="0" text="Not Done" dxfId="3"/>
    <cfRule type="containsText" priority="210" operator="containsText" aboveAverage="0" equalAverage="0" bottom="0" percent="0" rank="0" text="Ongoing" dxfId="4"/>
    <cfRule type="containsText" priority="211" operator="containsText" aboveAverage="0" equalAverage="0" bottom="0" percent="0" rank="0" text="Complete" dxfId="5"/>
  </conditionalFormatting>
  <conditionalFormatting sqref="AZ79">
    <cfRule type="containsText" priority="212" operator="containsText" aboveAverage="0" equalAverage="0" bottom="0" percent="0" rank="0" text="NA" dxfId="2"/>
    <cfRule type="containsText" priority="213" operator="containsText" aboveAverage="0" equalAverage="0" bottom="0" percent="0" rank="0" text="Not Done" dxfId="3"/>
    <cfRule type="containsText" priority="214" operator="containsText" aboveAverage="0" equalAverage="0" bottom="0" percent="0" rank="0" text="Ongoing" dxfId="4"/>
    <cfRule type="containsText" priority="215" operator="containsText" aboveAverage="0" equalAverage="0" bottom="0" percent="0" rank="0" text="Complete" dxfId="5"/>
  </conditionalFormatting>
  <conditionalFormatting sqref="AV55:AV57">
    <cfRule type="containsText" priority="216" operator="containsText" aboveAverage="0" equalAverage="0" bottom="0" percent="0" rank="0" text="NA" dxfId="2"/>
    <cfRule type="containsText" priority="217" operator="containsText" aboveAverage="0" equalAverage="0" bottom="0" percent="0" rank="0" text="Not Done" dxfId="3"/>
    <cfRule type="containsText" priority="218" operator="containsText" aboveAverage="0" equalAverage="0" bottom="0" percent="0" rank="0" text="Ongoing" dxfId="4"/>
    <cfRule type="containsText" priority="219" operator="containsText" aboveAverage="0" equalAverage="0" bottom="0" percent="0" rank="0" text="Complete" dxfId="5"/>
  </conditionalFormatting>
  <conditionalFormatting sqref="AV71:AV73">
    <cfRule type="containsText" priority="220" operator="containsText" aboveAverage="0" equalAverage="0" bottom="0" percent="0" rank="0" text="NA" dxfId="2"/>
    <cfRule type="containsText" priority="221" operator="containsText" aboveAverage="0" equalAverage="0" bottom="0" percent="0" rank="0" text="Not Done" dxfId="3"/>
    <cfRule type="containsText" priority="222" operator="containsText" aboveAverage="0" equalAverage="0" bottom="0" percent="0" rank="0" text="Ongoing" dxfId="4"/>
    <cfRule type="containsText" priority="223" operator="containsText" aboveAverage="0" equalAverage="0" bottom="0" percent="0" rank="0" text="Complete" dxfId="5"/>
  </conditionalFormatting>
  <conditionalFormatting sqref="BD79:BD83">
    <cfRule type="containsText" priority="224" operator="containsText" aboveAverage="0" equalAverage="0" bottom="0" percent="0" rank="0" text="NA" dxfId="2"/>
    <cfRule type="containsText" priority="225" operator="containsText" aboveAverage="0" equalAverage="0" bottom="0" percent="0" rank="0" text="Not Done" dxfId="3"/>
    <cfRule type="containsText" priority="226" operator="containsText" aboveAverage="0" equalAverage="0" bottom="0" percent="0" rank="0" text="Ongoing" dxfId="4"/>
    <cfRule type="containsText" priority="227" operator="containsText" aboveAverage="0" equalAverage="0" bottom="0" percent="0" rank="0" text="Complete" dxfId="5"/>
  </conditionalFormatting>
  <conditionalFormatting sqref="BD62:BD64">
    <cfRule type="containsText" priority="228" operator="containsText" aboveAverage="0" equalAverage="0" bottom="0" percent="0" rank="0" text="NA" dxfId="2"/>
    <cfRule type="containsText" priority="229" operator="containsText" aboveAverage="0" equalAverage="0" bottom="0" percent="0" rank="0" text="Not Done" dxfId="3"/>
    <cfRule type="containsText" priority="230" operator="containsText" aboveAverage="0" equalAverage="0" bottom="0" percent="0" rank="0" text="Ongoing" dxfId="4"/>
    <cfRule type="containsText" priority="231" operator="containsText" aboveAverage="0" equalAverage="0" bottom="0" percent="0" rank="0" text="Complete" dxfId="5"/>
  </conditionalFormatting>
  <conditionalFormatting sqref="BD39:BD41">
    <cfRule type="containsText" priority="232" operator="containsText" aboveAverage="0" equalAverage="0" bottom="0" percent="0" rank="0" text="NA" dxfId="2"/>
    <cfRule type="containsText" priority="233" operator="containsText" aboveAverage="0" equalAverage="0" bottom="0" percent="0" rank="0" text="Not Done" dxfId="3"/>
    <cfRule type="containsText" priority="234" operator="containsText" aboveAverage="0" equalAverage="0" bottom="0" percent="0" rank="0" text="Ongoing" dxfId="4"/>
    <cfRule type="containsText" priority="235" operator="containsText" aboveAverage="0" equalAverage="0" bottom="0" percent="0" rank="0" text="Complete" dxfId="5"/>
  </conditionalFormatting>
  <conditionalFormatting sqref="BD26:BD27">
    <cfRule type="containsText" priority="236" operator="containsText" aboveAverage="0" equalAverage="0" bottom="0" percent="0" rank="0" text="NA" dxfId="2"/>
    <cfRule type="containsText" priority="237" operator="containsText" aboveAverage="0" equalAverage="0" bottom="0" percent="0" rank="0" text="Not Done" dxfId="3"/>
    <cfRule type="containsText" priority="238" operator="containsText" aboveAverage="0" equalAverage="0" bottom="0" percent="0" rank="0" text="Ongoing" dxfId="4"/>
    <cfRule type="containsText" priority="239" operator="containsText" aboveAverage="0" equalAverage="0" bottom="0" percent="0" rank="0" text="Complete" dxfId="5"/>
  </conditionalFormatting>
  <conditionalFormatting sqref="BD16:BD18">
    <cfRule type="containsText" priority="240" operator="containsText" aboveAverage="0" equalAverage="0" bottom="0" percent="0" rank="0" text="NA" dxfId="2"/>
    <cfRule type="containsText" priority="241" operator="containsText" aboveAverage="0" equalAverage="0" bottom="0" percent="0" rank="0" text="Not Done" dxfId="3"/>
    <cfRule type="containsText" priority="242" operator="containsText" aboveAverage="0" equalAverage="0" bottom="0" percent="0" rank="0" text="Ongoing" dxfId="4"/>
    <cfRule type="containsText" priority="243" operator="containsText" aboveAverage="0" equalAverage="0" bottom="0" percent="0" rank="0" text="Complete" dxfId="5"/>
  </conditionalFormatting>
  <conditionalFormatting sqref="BB23:BB27">
    <cfRule type="containsText" priority="244" operator="containsText" aboveAverage="0" equalAverage="0" bottom="0" percent="0" rank="0" text="NA" dxfId="2"/>
    <cfRule type="containsText" priority="245" operator="containsText" aboveAverage="0" equalAverage="0" bottom="0" percent="0" rank="0" text="Not Done" dxfId="3"/>
    <cfRule type="containsText" priority="246" operator="containsText" aboveAverage="0" equalAverage="0" bottom="0" percent="0" rank="0" text="Ongoing" dxfId="4"/>
    <cfRule type="containsText" priority="247" operator="containsText" aboveAverage="0" equalAverage="0" bottom="0" percent="0" rank="0" text="Complete" dxfId="5"/>
  </conditionalFormatting>
  <conditionalFormatting sqref="BB23:BB27">
    <cfRule type="containsText" priority="248" operator="containsText" aboveAverage="0" equalAverage="0" bottom="0" percent="0" rank="0" text="NA" dxfId="2"/>
    <cfRule type="containsText" priority="249" operator="containsText" aboveAverage="0" equalAverage="0" bottom="0" percent="0" rank="0" text="Not Done" dxfId="3"/>
    <cfRule type="containsText" priority="250" operator="containsText" aboveAverage="0" equalAverage="0" bottom="0" percent="0" rank="0" text="Ongoing" dxfId="4"/>
    <cfRule type="containsText" priority="251" operator="containsText" aboveAverage="0" equalAverage="0" bottom="0" percent="0" rank="0" text="Complete" dxfId="5"/>
  </conditionalFormatting>
  <conditionalFormatting sqref="BB23:BB27">
    <cfRule type="containsText" priority="252" operator="containsText" aboveAverage="0" equalAverage="0" bottom="0" percent="0" rank="0" text="NA" dxfId="2"/>
    <cfRule type="containsText" priority="253" operator="containsText" aboveAverage="0" equalAverage="0" bottom="0" percent="0" rank="0" text="Not Done" dxfId="3"/>
    <cfRule type="containsText" priority="254" operator="containsText" aboveAverage="0" equalAverage="0" bottom="0" percent="0" rank="0" text="Ongoing" dxfId="4"/>
    <cfRule type="containsText" priority="255" operator="containsText" aboveAverage="0" equalAverage="0" bottom="0" percent="0" rank="0" text="Complete" dxfId="5"/>
  </conditionalFormatting>
  <conditionalFormatting sqref="AZ36:AZ38">
    <cfRule type="containsText" priority="256" operator="containsText" aboveAverage="0" equalAverage="0" bottom="0" percent="0" rank="0" text="NA" dxfId="2"/>
    <cfRule type="containsText" priority="257" operator="containsText" aboveAverage="0" equalAverage="0" bottom="0" percent="0" rank="0" text="Not Done" dxfId="3"/>
    <cfRule type="containsText" priority="258" operator="containsText" aboveAverage="0" equalAverage="0" bottom="0" percent="0" rank="0" text="Ongoing" dxfId="4"/>
    <cfRule type="containsText" priority="259" operator="containsText" aboveAverage="0" equalAverage="0" bottom="0" percent="0" rank="0" text="Complete" dxfId="5"/>
  </conditionalFormatting>
  <conditionalFormatting sqref="AZ36:AZ38">
    <cfRule type="containsText" priority="260" operator="containsText" aboveAverage="0" equalAverage="0" bottom="0" percent="0" rank="0" text="NA" dxfId="2"/>
    <cfRule type="containsText" priority="261" operator="containsText" aboveAverage="0" equalAverage="0" bottom="0" percent="0" rank="0" text="Not Done" dxfId="3"/>
    <cfRule type="containsText" priority="262" operator="containsText" aboveAverage="0" equalAverage="0" bottom="0" percent="0" rank="0" text="Ongoing" dxfId="4"/>
    <cfRule type="containsText" priority="263" operator="containsText" aboveAverage="0" equalAverage="0" bottom="0" percent="0" rank="0" text="Complete" dxfId="5"/>
  </conditionalFormatting>
  <conditionalFormatting sqref="AZ36:AZ38">
    <cfRule type="containsText" priority="264" operator="containsText" aboveAverage="0" equalAverage="0" bottom="0" percent="0" rank="0" text="NA" dxfId="2"/>
    <cfRule type="containsText" priority="265" operator="containsText" aboveAverage="0" equalAverage="0" bottom="0" percent="0" rank="0" text="Not Done" dxfId="3"/>
    <cfRule type="containsText" priority="266" operator="containsText" aboveAverage="0" equalAverage="0" bottom="0" percent="0" rank="0" text="Ongoing" dxfId="4"/>
    <cfRule type="containsText" priority="267" operator="containsText" aboveAverage="0" equalAverage="0" bottom="0" percent="0" rank="0" text="Complete" dxfId="5"/>
  </conditionalFormatting>
  <conditionalFormatting sqref="BB34:BB36">
    <cfRule type="containsText" priority="268" operator="containsText" aboveAverage="0" equalAverage="0" bottom="0" percent="0" rank="0" text="NA" dxfId="2"/>
    <cfRule type="containsText" priority="269" operator="containsText" aboveAverage="0" equalAverage="0" bottom="0" percent="0" rank="0" text="Not Done" dxfId="3"/>
    <cfRule type="containsText" priority="270" operator="containsText" aboveAverage="0" equalAverage="0" bottom="0" percent="0" rank="0" text="Ongoing" dxfId="4"/>
    <cfRule type="containsText" priority="271" operator="containsText" aboveAverage="0" equalAverage="0" bottom="0" percent="0" rank="0" text="Complete" dxfId="5"/>
  </conditionalFormatting>
  <conditionalFormatting sqref="BB34:BB36">
    <cfRule type="containsText" priority="272" operator="containsText" aboveAverage="0" equalAverage="0" bottom="0" percent="0" rank="0" text="NA" dxfId="2"/>
    <cfRule type="containsText" priority="273" operator="containsText" aboveAverage="0" equalAverage="0" bottom="0" percent="0" rank="0" text="Not Done" dxfId="3"/>
    <cfRule type="containsText" priority="274" operator="containsText" aboveAverage="0" equalAverage="0" bottom="0" percent="0" rank="0" text="Ongoing" dxfId="4"/>
    <cfRule type="containsText" priority="275" operator="containsText" aboveAverage="0" equalAverage="0" bottom="0" percent="0" rank="0" text="Complete" dxfId="5"/>
  </conditionalFormatting>
  <conditionalFormatting sqref="BB34:BB36">
    <cfRule type="containsText" priority="276" operator="containsText" aboveAverage="0" equalAverage="0" bottom="0" percent="0" rank="0" text="NA" dxfId="2"/>
    <cfRule type="containsText" priority="277" operator="containsText" aboveAverage="0" equalAverage="0" bottom="0" percent="0" rank="0" text="Not Done" dxfId="3"/>
    <cfRule type="containsText" priority="278" operator="containsText" aboveAverage="0" equalAverage="0" bottom="0" percent="0" rank="0" text="Ongoing" dxfId="4"/>
    <cfRule type="containsText" priority="279" operator="containsText" aboveAverage="0" equalAverage="0" bottom="0" percent="0" rank="0" text="Complete" dxfId="5"/>
  </conditionalFormatting>
  <conditionalFormatting sqref="BB38:BB49">
    <cfRule type="containsText" priority="280" operator="containsText" aboveAverage="0" equalAverage="0" bottom="0" percent="0" rank="0" text="NA" dxfId="2"/>
    <cfRule type="containsText" priority="281" operator="containsText" aboveAverage="0" equalAverage="0" bottom="0" percent="0" rank="0" text="Not Done" dxfId="3"/>
    <cfRule type="containsText" priority="282" operator="containsText" aboveAverage="0" equalAverage="0" bottom="0" percent="0" rank="0" text="Ongoing" dxfId="4"/>
    <cfRule type="containsText" priority="283" operator="containsText" aboveAverage="0" equalAverage="0" bottom="0" percent="0" rank="0" text="Complete" dxfId="5"/>
  </conditionalFormatting>
  <conditionalFormatting sqref="BB38:BB49">
    <cfRule type="containsText" priority="284" operator="containsText" aboveAverage="0" equalAverage="0" bottom="0" percent="0" rank="0" text="NA" dxfId="2"/>
    <cfRule type="containsText" priority="285" operator="containsText" aboveAverage="0" equalAverage="0" bottom="0" percent="0" rank="0" text="Not Done" dxfId="3"/>
    <cfRule type="containsText" priority="286" operator="containsText" aboveAverage="0" equalAverage="0" bottom="0" percent="0" rank="0" text="Ongoing" dxfId="4"/>
    <cfRule type="containsText" priority="287" operator="containsText" aboveAverage="0" equalAverage="0" bottom="0" percent="0" rank="0" text="Complete" dxfId="5"/>
  </conditionalFormatting>
  <conditionalFormatting sqref="BB38:BB49">
    <cfRule type="containsText" priority="288" operator="containsText" aboveAverage="0" equalAverage="0" bottom="0" percent="0" rank="0" text="NA" dxfId="2"/>
    <cfRule type="containsText" priority="289" operator="containsText" aboveAverage="0" equalAverage="0" bottom="0" percent="0" rank="0" text="Not Done" dxfId="3"/>
    <cfRule type="containsText" priority="290" operator="containsText" aboveAverage="0" equalAverage="0" bottom="0" percent="0" rank="0" text="Ongoing" dxfId="4"/>
    <cfRule type="containsText" priority="291" operator="containsText" aboveAverage="0" equalAverage="0" bottom="0" percent="0" rank="0" text="Complete" dxfId="5"/>
  </conditionalFormatting>
  <conditionalFormatting sqref="AX42:AX45">
    <cfRule type="containsText" priority="292" operator="containsText" aboveAverage="0" equalAverage="0" bottom="0" percent="0" rank="0" text="NA" dxfId="2"/>
    <cfRule type="containsText" priority="293" operator="containsText" aboveAverage="0" equalAverage="0" bottom="0" percent="0" rank="0" text="Not Done" dxfId="3"/>
    <cfRule type="containsText" priority="294" operator="containsText" aboveAverage="0" equalAverage="0" bottom="0" percent="0" rank="0" text="Ongoing" dxfId="4"/>
    <cfRule type="containsText" priority="295" operator="containsText" aboveAverage="0" equalAverage="0" bottom="0" percent="0" rank="0" text="Complete" dxfId="5"/>
  </conditionalFormatting>
  <conditionalFormatting sqref="AV36:AV39">
    <cfRule type="containsText" priority="296" operator="containsText" aboveAverage="0" equalAverage="0" bottom="0" percent="0" rank="0" text="NA" dxfId="2"/>
    <cfRule type="containsText" priority="297" operator="containsText" aboveAverage="0" equalAverage="0" bottom="0" percent="0" rank="0" text="Not Done" dxfId="3"/>
    <cfRule type="containsText" priority="298" operator="containsText" aboveAverage="0" equalAverage="0" bottom="0" percent="0" rank="0" text="Ongoing" dxfId="4"/>
    <cfRule type="containsText" priority="299" operator="containsText" aboveAverage="0" equalAverage="0" bottom="0" percent="0" rank="0" text="Complete" dxfId="5"/>
  </conditionalFormatting>
  <conditionalFormatting sqref="BB33:BB36">
    <cfRule type="containsText" priority="300" operator="containsText" aboveAverage="0" equalAverage="0" bottom="0" percent="0" rank="0" text="NA" dxfId="2"/>
    <cfRule type="containsText" priority="301" operator="containsText" aboveAverage="0" equalAverage="0" bottom="0" percent="0" rank="0" text="Not Done" dxfId="3"/>
    <cfRule type="containsText" priority="302" operator="containsText" aboveAverage="0" equalAverage="0" bottom="0" percent="0" rank="0" text="Ongoing" dxfId="4"/>
    <cfRule type="containsText" priority="303" operator="containsText" aboveAverage="0" equalAverage="0" bottom="0" percent="0" rank="0" text="Complete" dxfId="5"/>
  </conditionalFormatting>
  <conditionalFormatting sqref="AZ41:AZ44">
    <cfRule type="containsText" priority="304" operator="containsText" aboveAverage="0" equalAverage="0" bottom="0" percent="0" rank="0" text="NA" dxfId="2"/>
    <cfRule type="containsText" priority="305" operator="containsText" aboveAverage="0" equalAverage="0" bottom="0" percent="0" rank="0" text="Not Done" dxfId="3"/>
    <cfRule type="containsText" priority="306" operator="containsText" aboveAverage="0" equalAverage="0" bottom="0" percent="0" rank="0" text="Ongoing" dxfId="4"/>
    <cfRule type="containsText" priority="307" operator="containsText" aboveAverage="0" equalAverage="0" bottom="0" percent="0" rank="0" text="Complete" dxfId="5"/>
  </conditionalFormatting>
  <conditionalFormatting sqref="AZ45">
    <cfRule type="containsText" priority="308" operator="containsText" aboveAverage="0" equalAverage="0" bottom="0" percent="0" rank="0" text="NA" dxfId="2"/>
    <cfRule type="containsText" priority="309" operator="containsText" aboveAverage="0" equalAverage="0" bottom="0" percent="0" rank="0" text="Not Done" dxfId="3"/>
    <cfRule type="containsText" priority="310" operator="containsText" aboveAverage="0" equalAverage="0" bottom="0" percent="0" rank="0" text="Ongoing" dxfId="4"/>
    <cfRule type="containsText" priority="311" operator="containsText" aboveAverage="0" equalAverage="0" bottom="0" percent="0" rank="0" text="Complete" dxfId="5"/>
  </conditionalFormatting>
  <conditionalFormatting sqref="AZ39:AZ40">
    <cfRule type="containsText" priority="312" operator="containsText" aboveAverage="0" equalAverage="0" bottom="0" percent="0" rank="0" text="NA" dxfId="2"/>
    <cfRule type="containsText" priority="313" operator="containsText" aboveAverage="0" equalAverage="0" bottom="0" percent="0" rank="0" text="Not Done" dxfId="3"/>
    <cfRule type="containsText" priority="314" operator="containsText" aboveAverage="0" equalAverage="0" bottom="0" percent="0" rank="0" text="Ongoing" dxfId="4"/>
    <cfRule type="containsText" priority="315" operator="containsText" aboveAverage="0" equalAverage="0" bottom="0" percent="0" rank="0" text="Complete" dxfId="5"/>
  </conditionalFormatting>
  <conditionalFormatting sqref="AZ39:AZ40">
    <cfRule type="containsText" priority="316" operator="containsText" aboveAverage="0" equalAverage="0" bottom="0" percent="0" rank="0" text="NA" dxfId="2"/>
    <cfRule type="containsText" priority="317" operator="containsText" aboveAverage="0" equalAverage="0" bottom="0" percent="0" rank="0" text="Not Done" dxfId="3"/>
    <cfRule type="containsText" priority="318" operator="containsText" aboveAverage="0" equalAverage="0" bottom="0" percent="0" rank="0" text="Ongoing" dxfId="4"/>
    <cfRule type="containsText" priority="319" operator="containsText" aboveAverage="0" equalAverage="0" bottom="0" percent="0" rank="0" text="Complete" dxfId="5"/>
  </conditionalFormatting>
  <conditionalFormatting sqref="AZ39:AZ40">
    <cfRule type="containsText" priority="320" operator="containsText" aboveAverage="0" equalAverage="0" bottom="0" percent="0" rank="0" text="NA" dxfId="2"/>
    <cfRule type="containsText" priority="321" operator="containsText" aboveAverage="0" equalAverage="0" bottom="0" percent="0" rank="0" text="Not Done" dxfId="3"/>
    <cfRule type="containsText" priority="322" operator="containsText" aboveAverage="0" equalAverage="0" bottom="0" percent="0" rank="0" text="Ongoing" dxfId="4"/>
    <cfRule type="containsText" priority="323" operator="containsText" aboveAverage="0" equalAverage="0" bottom="0" percent="0" rank="0" text="Complete" dxfId="5"/>
  </conditionalFormatting>
  <conditionalFormatting sqref="BB38:BB45">
    <cfRule type="containsText" priority="324" operator="containsText" aboveAverage="0" equalAverage="0" bottom="0" percent="0" rank="0" text="NA" dxfId="2"/>
    <cfRule type="containsText" priority="325" operator="containsText" aboveAverage="0" equalAverage="0" bottom="0" percent="0" rank="0" text="Not Done" dxfId="3"/>
    <cfRule type="containsText" priority="326" operator="containsText" aboveAverage="0" equalAverage="0" bottom="0" percent="0" rank="0" text="Ongoing" dxfId="4"/>
    <cfRule type="containsText" priority="327" operator="containsText" aboveAverage="0" equalAverage="0" bottom="0" percent="0" rank="0" text="Complete" dxfId="5"/>
  </conditionalFormatting>
  <conditionalFormatting sqref="BB39:BB42">
    <cfRule type="containsText" priority="328" operator="containsText" aboveAverage="0" equalAverage="0" bottom="0" percent="0" rank="0" text="NA" dxfId="2"/>
    <cfRule type="containsText" priority="329" operator="containsText" aboveAverage="0" equalAverage="0" bottom="0" percent="0" rank="0" text="Not Done" dxfId="3"/>
    <cfRule type="containsText" priority="330" operator="containsText" aboveAverage="0" equalAverage="0" bottom="0" percent="0" rank="0" text="Ongoing" dxfId="4"/>
    <cfRule type="containsText" priority="331" operator="containsText" aboveAverage="0" equalAverage="0" bottom="0" percent="0" rank="0" text="Complete" dxfId="5"/>
  </conditionalFormatting>
  <conditionalFormatting sqref="BB43">
    <cfRule type="containsText" priority="332" operator="containsText" aboveAverage="0" equalAverage="0" bottom="0" percent="0" rank="0" text="NA" dxfId="2"/>
    <cfRule type="containsText" priority="333" operator="containsText" aboveAverage="0" equalAverage="0" bottom="0" percent="0" rank="0" text="Not Done" dxfId="3"/>
    <cfRule type="containsText" priority="334" operator="containsText" aboveAverage="0" equalAverage="0" bottom="0" percent="0" rank="0" text="Ongoing" dxfId="4"/>
    <cfRule type="containsText" priority="335" operator="containsText" aboveAverage="0" equalAverage="0" bottom="0" percent="0" rank="0" text="Complete" dxfId="5"/>
  </conditionalFormatting>
  <conditionalFormatting sqref="BB37:BB38">
    <cfRule type="containsText" priority="336" operator="containsText" aboveAverage="0" equalAverage="0" bottom="0" percent="0" rank="0" text="NA" dxfId="2"/>
    <cfRule type="containsText" priority="337" operator="containsText" aboveAverage="0" equalAverage="0" bottom="0" percent="0" rank="0" text="Not Done" dxfId="3"/>
    <cfRule type="containsText" priority="338" operator="containsText" aboveAverage="0" equalAverage="0" bottom="0" percent="0" rank="0" text="Ongoing" dxfId="4"/>
    <cfRule type="containsText" priority="339" operator="containsText" aboveAverage="0" equalAverage="0" bottom="0" percent="0" rank="0" text="Complete" dxfId="5"/>
  </conditionalFormatting>
  <conditionalFormatting sqref="BB37:BB38">
    <cfRule type="containsText" priority="340" operator="containsText" aboveAverage="0" equalAverage="0" bottom="0" percent="0" rank="0" text="NA" dxfId="2"/>
    <cfRule type="containsText" priority="341" operator="containsText" aboveAverage="0" equalAverage="0" bottom="0" percent="0" rank="0" text="Not Done" dxfId="3"/>
    <cfRule type="containsText" priority="342" operator="containsText" aboveAverage="0" equalAverage="0" bottom="0" percent="0" rank="0" text="Ongoing" dxfId="4"/>
    <cfRule type="containsText" priority="343" operator="containsText" aboveAverage="0" equalAverage="0" bottom="0" percent="0" rank="0" text="Complete" dxfId="5"/>
  </conditionalFormatting>
  <conditionalFormatting sqref="BB37:BB38">
    <cfRule type="containsText" priority="344" operator="containsText" aboveAverage="0" equalAverage="0" bottom="0" percent="0" rank="0" text="NA" dxfId="2"/>
    <cfRule type="containsText" priority="345" operator="containsText" aboveAverage="0" equalAverage="0" bottom="0" percent="0" rank="0" text="Not Done" dxfId="3"/>
    <cfRule type="containsText" priority="346" operator="containsText" aboveAverage="0" equalAverage="0" bottom="0" percent="0" rank="0" text="Ongoing" dxfId="4"/>
    <cfRule type="containsText" priority="347" operator="containsText" aboveAverage="0" equalAverage="0" bottom="0" percent="0" rank="0" text="Complete" dxfId="5"/>
  </conditionalFormatting>
  <conditionalFormatting sqref="BB71:BB78 BB60:BB66">
    <cfRule type="containsText" priority="348" operator="containsText" aboveAverage="0" equalAverage="0" bottom="0" percent="0" rank="0" text="NA" dxfId="2"/>
    <cfRule type="containsText" priority="349" operator="containsText" aboveAverage="0" equalAverage="0" bottom="0" percent="0" rank="0" text="Not Done" dxfId="3"/>
    <cfRule type="containsText" priority="350" operator="containsText" aboveAverage="0" equalAverage="0" bottom="0" percent="0" rank="0" text="Ongoing" dxfId="4"/>
    <cfRule type="containsText" priority="351" operator="containsText" aboveAverage="0" equalAverage="0" bottom="0" percent="0" rank="0" text="Complete" dxfId="5"/>
  </conditionalFormatting>
  <conditionalFormatting sqref="BB71:BB78 BB60:BB66">
    <cfRule type="containsText" priority="352" operator="containsText" aboveAverage="0" equalAverage="0" bottom="0" percent="0" rank="0" text="NA" dxfId="2"/>
    <cfRule type="containsText" priority="353" operator="containsText" aboveAverage="0" equalAverage="0" bottom="0" percent="0" rank="0" text="Not Done" dxfId="3"/>
    <cfRule type="containsText" priority="354" operator="containsText" aboveAverage="0" equalAverage="0" bottom="0" percent="0" rank="0" text="Ongoing" dxfId="4"/>
    <cfRule type="containsText" priority="355" operator="containsText" aboveAverage="0" equalAverage="0" bottom="0" percent="0" rank="0" text="Complete" dxfId="5"/>
  </conditionalFormatting>
  <conditionalFormatting sqref="BB71:BB78 BB60:BB66">
    <cfRule type="containsText" priority="356" operator="containsText" aboveAverage="0" equalAverage="0" bottom="0" percent="0" rank="0" text="NA" dxfId="2"/>
    <cfRule type="containsText" priority="357" operator="containsText" aboveAverage="0" equalAverage="0" bottom="0" percent="0" rank="0" text="Not Done" dxfId="3"/>
    <cfRule type="containsText" priority="358" operator="containsText" aboveAverage="0" equalAverage="0" bottom="0" percent="0" rank="0" text="Ongoing" dxfId="4"/>
    <cfRule type="containsText" priority="359" operator="containsText" aboveAverage="0" equalAverage="0" bottom="0" percent="0" rank="0" text="Complete" dxfId="5"/>
  </conditionalFormatting>
  <conditionalFormatting sqref="BB67:BB70">
    <cfRule type="containsText" priority="360" operator="containsText" aboveAverage="0" equalAverage="0" bottom="0" percent="0" rank="0" text="NA" dxfId="2"/>
    <cfRule type="containsText" priority="361" operator="containsText" aboveAverage="0" equalAverage="0" bottom="0" percent="0" rank="0" text="Not Done" dxfId="3"/>
    <cfRule type="containsText" priority="362" operator="containsText" aboveAverage="0" equalAverage="0" bottom="0" percent="0" rank="0" text="Ongoing" dxfId="4"/>
    <cfRule type="containsText" priority="363" operator="containsText" aboveAverage="0" equalAverage="0" bottom="0" percent="0" rank="0" text="Complete" dxfId="5"/>
  </conditionalFormatting>
  <conditionalFormatting sqref="BB58:BB59">
    <cfRule type="containsText" priority="364" operator="containsText" aboveAverage="0" equalAverage="0" bottom="0" percent="0" rank="0" text="NA" dxfId="2"/>
    <cfRule type="containsText" priority="365" operator="containsText" aboveAverage="0" equalAverage="0" bottom="0" percent="0" rank="0" text="Not Done" dxfId="3"/>
    <cfRule type="containsText" priority="366" operator="containsText" aboveAverage="0" equalAverage="0" bottom="0" percent="0" rank="0" text="Ongoing" dxfId="4"/>
    <cfRule type="containsText" priority="367" operator="containsText" aboveAverage="0" equalAverage="0" bottom="0" percent="0" rank="0" text="Complete" dxfId="5"/>
  </conditionalFormatting>
  <conditionalFormatting sqref="AZ80:AZ81">
    <cfRule type="containsText" priority="368" operator="containsText" aboveAverage="0" equalAverage="0" bottom="0" percent="0" rank="0" text="NA" dxfId="2"/>
    <cfRule type="containsText" priority="369" operator="containsText" aboveAverage="0" equalAverage="0" bottom="0" percent="0" rank="0" text="Not Done" dxfId="3"/>
    <cfRule type="containsText" priority="370" operator="containsText" aboveAverage="0" equalAverage="0" bottom="0" percent="0" rank="0" text="Ongoing" dxfId="4"/>
    <cfRule type="containsText" priority="371" operator="containsText" aboveAverage="0" equalAverage="0" bottom="0" percent="0" rank="0" text="Complete" dxfId="5"/>
  </conditionalFormatting>
  <conditionalFormatting sqref="AZ82:AZ83">
    <cfRule type="containsText" priority="372" operator="containsText" aboveAverage="0" equalAverage="0" bottom="0" percent="0" rank="0" text="NA" dxfId="2"/>
    <cfRule type="containsText" priority="373" operator="containsText" aboveAverage="0" equalAverage="0" bottom="0" percent="0" rank="0" text="Not Done" dxfId="3"/>
    <cfRule type="containsText" priority="374" operator="containsText" aboveAverage="0" equalAverage="0" bottom="0" percent="0" rank="0" text="Ongoing" dxfId="4"/>
    <cfRule type="containsText" priority="375" operator="containsText" aboveAverage="0" equalAverage="0" bottom="0" percent="0" rank="0" text="Complete" dxfId="5"/>
  </conditionalFormatting>
  <conditionalFormatting sqref="AZ82:AZ83">
    <cfRule type="containsText" priority="376" operator="containsText" aboveAverage="0" equalAverage="0" bottom="0" percent="0" rank="0" text="NA" dxfId="2"/>
    <cfRule type="containsText" priority="377" operator="containsText" aboveAverage="0" equalAverage="0" bottom="0" percent="0" rank="0" text="Not Done" dxfId="3"/>
    <cfRule type="containsText" priority="378" operator="containsText" aboveAverage="0" equalAverage="0" bottom="0" percent="0" rank="0" text="Ongoing" dxfId="4"/>
    <cfRule type="containsText" priority="379" operator="containsText" aboveAverage="0" equalAverage="0" bottom="0" percent="0" rank="0" text="Complete" dxfId="5"/>
  </conditionalFormatting>
  <conditionalFormatting sqref="AZ82:AZ83">
    <cfRule type="containsText" priority="380" operator="containsText" aboveAverage="0" equalAverage="0" bottom="0" percent="0" rank="0" text="NA" dxfId="2"/>
    <cfRule type="containsText" priority="381" operator="containsText" aboveAverage="0" equalAverage="0" bottom="0" percent="0" rank="0" text="Not Done" dxfId="3"/>
    <cfRule type="containsText" priority="382" operator="containsText" aboveAverage="0" equalAverage="0" bottom="0" percent="0" rank="0" text="Ongoing" dxfId="4"/>
    <cfRule type="containsText" priority="383" operator="containsText" aboveAverage="0" equalAverage="0" bottom="0" percent="0" rank="0" text="Complete" dxfId="5"/>
  </conditionalFormatting>
  <conditionalFormatting sqref="AZ84">
    <cfRule type="containsText" priority="384" operator="containsText" aboveAverage="0" equalAverage="0" bottom="0" percent="0" rank="0" text="NA" dxfId="2"/>
    <cfRule type="containsText" priority="385" operator="containsText" aboveAverage="0" equalAverage="0" bottom="0" percent="0" rank="0" text="Not Done" dxfId="3"/>
    <cfRule type="containsText" priority="386" operator="containsText" aboveAverage="0" equalAverage="0" bottom="0" percent="0" rank="0" text="Ongoing" dxfId="4"/>
    <cfRule type="containsText" priority="387" operator="containsText" aboveAverage="0" equalAverage="0" bottom="0" percent="0" rank="0" text="Complete" dxfId="5"/>
  </conditionalFormatting>
  <conditionalFormatting sqref="BB80:BB81">
    <cfRule type="containsText" priority="388" operator="containsText" aboveAverage="0" equalAverage="0" bottom="0" percent="0" rank="0" text="NA" dxfId="2"/>
    <cfRule type="containsText" priority="389" operator="containsText" aboveAverage="0" equalAverage="0" bottom="0" percent="0" rank="0" text="Not Done" dxfId="3"/>
    <cfRule type="containsText" priority="390" operator="containsText" aboveAverage="0" equalAverage="0" bottom="0" percent="0" rank="0" text="Ongoing" dxfId="4"/>
    <cfRule type="containsText" priority="391" operator="containsText" aboveAverage="0" equalAverage="0" bottom="0" percent="0" rank="0" text="Complete" dxfId="5"/>
  </conditionalFormatting>
  <conditionalFormatting sqref="BB80:BB81">
    <cfRule type="containsText" priority="392" operator="containsText" aboveAverage="0" equalAverage="0" bottom="0" percent="0" rank="0" text="NA" dxfId="2"/>
    <cfRule type="containsText" priority="393" operator="containsText" aboveAverage="0" equalAverage="0" bottom="0" percent="0" rank="0" text="Not Done" dxfId="3"/>
    <cfRule type="containsText" priority="394" operator="containsText" aboveAverage="0" equalAverage="0" bottom="0" percent="0" rank="0" text="Ongoing" dxfId="4"/>
    <cfRule type="containsText" priority="395" operator="containsText" aboveAverage="0" equalAverage="0" bottom="0" percent="0" rank="0" text="Complete" dxfId="5"/>
  </conditionalFormatting>
  <conditionalFormatting sqref="BB80:BB81">
    <cfRule type="containsText" priority="396" operator="containsText" aboveAverage="0" equalAverage="0" bottom="0" percent="0" rank="0" text="NA" dxfId="2"/>
    <cfRule type="containsText" priority="397" operator="containsText" aboveAverage="0" equalAverage="0" bottom="0" percent="0" rank="0" text="Not Done" dxfId="3"/>
    <cfRule type="containsText" priority="398" operator="containsText" aboveAverage="0" equalAverage="0" bottom="0" percent="0" rank="0" text="Ongoing" dxfId="4"/>
    <cfRule type="containsText" priority="399" operator="containsText" aboveAverage="0" equalAverage="0" bottom="0" percent="0" rank="0" text="Complete" dxfId="5"/>
  </conditionalFormatting>
  <conditionalFormatting sqref="BB82:BB83">
    <cfRule type="containsText" priority="400" operator="containsText" aboveAverage="0" equalAverage="0" bottom="0" percent="0" rank="0" text="NA" dxfId="2"/>
    <cfRule type="containsText" priority="401" operator="containsText" aboveAverage="0" equalAverage="0" bottom="0" percent="0" rank="0" text="Not Done" dxfId="3"/>
    <cfRule type="containsText" priority="402" operator="containsText" aboveAverage="0" equalAverage="0" bottom="0" percent="0" rank="0" text="Ongoing" dxfId="4"/>
    <cfRule type="containsText" priority="403" operator="containsText" aboveAverage="0" equalAverage="0" bottom="0" percent="0" rank="0" text="Complete" dxfId="5"/>
  </conditionalFormatting>
  <conditionalFormatting sqref="BD78:BD79">
    <cfRule type="containsText" priority="404" operator="containsText" aboveAverage="0" equalAverage="0" bottom="0" percent="0" rank="0" text="NA" dxfId="2"/>
    <cfRule type="containsText" priority="405" operator="containsText" aboveAverage="0" equalAverage="0" bottom="0" percent="0" rank="0" text="Not Done" dxfId="3"/>
    <cfRule type="containsText" priority="406" operator="containsText" aboveAverage="0" equalAverage="0" bottom="0" percent="0" rank="0" text="Ongoing" dxfId="4"/>
    <cfRule type="containsText" priority="407" operator="containsText" aboveAverage="0" equalAverage="0" bottom="0" percent="0" rank="0" text="Complete" dxfId="5"/>
  </conditionalFormatting>
  <conditionalFormatting sqref="BD78:BD79">
    <cfRule type="containsText" priority="408" operator="containsText" aboveAverage="0" equalAverage="0" bottom="0" percent="0" rank="0" text="NA" dxfId="2"/>
    <cfRule type="containsText" priority="409" operator="containsText" aboveAverage="0" equalAverage="0" bottom="0" percent="0" rank="0" text="Not Done" dxfId="3"/>
    <cfRule type="containsText" priority="410" operator="containsText" aboveAverage="0" equalAverage="0" bottom="0" percent="0" rank="0" text="Ongoing" dxfId="4"/>
    <cfRule type="containsText" priority="411" operator="containsText" aboveAverage="0" equalAverage="0" bottom="0" percent="0" rank="0" text="Complete" dxfId="5"/>
  </conditionalFormatting>
  <conditionalFormatting sqref="BD78:BD79">
    <cfRule type="containsText" priority="412" operator="containsText" aboveAverage="0" equalAverage="0" bottom="0" percent="0" rank="0" text="NA" dxfId="2"/>
    <cfRule type="containsText" priority="413" operator="containsText" aboveAverage="0" equalAverage="0" bottom="0" percent="0" rank="0" text="Not Done" dxfId="3"/>
    <cfRule type="containsText" priority="414" operator="containsText" aboveAverage="0" equalAverage="0" bottom="0" percent="0" rank="0" text="Ongoing" dxfId="4"/>
    <cfRule type="containsText" priority="415" operator="containsText" aboveAverage="0" equalAverage="0" bottom="0" percent="0" rank="0" text="Complete" dxfId="5"/>
  </conditionalFormatting>
  <conditionalFormatting sqref="BD80:BD81">
    <cfRule type="containsText" priority="416" operator="containsText" aboveAverage="0" equalAverage="0" bottom="0" percent="0" rank="0" text="NA" dxfId="2"/>
    <cfRule type="containsText" priority="417" operator="containsText" aboveAverage="0" equalAverage="0" bottom="0" percent="0" rank="0" text="Not Done" dxfId="3"/>
    <cfRule type="containsText" priority="418" operator="containsText" aboveAverage="0" equalAverage="0" bottom="0" percent="0" rank="0" text="Ongoing" dxfId="4"/>
    <cfRule type="containsText" priority="419" operator="containsText" aboveAverage="0" equalAverage="0" bottom="0" percent="0" rank="0" text="Complete" dxfId="5"/>
  </conditionalFormatting>
  <conditionalFormatting sqref="BD87:BD88">
    <cfRule type="containsText" priority="420" operator="containsText" aboveAverage="0" equalAverage="0" bottom="0" percent="0" rank="0" text="NA" dxfId="2"/>
    <cfRule type="containsText" priority="421" operator="containsText" aboveAverage="0" equalAverage="0" bottom="0" percent="0" rank="0" text="Not Done" dxfId="3"/>
    <cfRule type="containsText" priority="422" operator="containsText" aboveAverage="0" equalAverage="0" bottom="0" percent="0" rank="0" text="Ongoing" dxfId="4"/>
    <cfRule type="containsText" priority="423" operator="containsText" aboveAverage="0" equalAverage="0" bottom="0" percent="0" rank="0" text="Complete" dxfId="5"/>
  </conditionalFormatting>
  <conditionalFormatting sqref="BD87:BD88">
    <cfRule type="containsText" priority="424" operator="containsText" aboveAverage="0" equalAverage="0" bottom="0" percent="0" rank="0" text="NA" dxfId="2"/>
    <cfRule type="containsText" priority="425" operator="containsText" aboveAverage="0" equalAverage="0" bottom="0" percent="0" rank="0" text="Not Done" dxfId="3"/>
    <cfRule type="containsText" priority="426" operator="containsText" aboveAverage="0" equalAverage="0" bottom="0" percent="0" rank="0" text="Ongoing" dxfId="4"/>
    <cfRule type="containsText" priority="427" operator="containsText" aboveAverage="0" equalAverage="0" bottom="0" percent="0" rank="0" text="Complete" dxfId="5"/>
  </conditionalFormatting>
  <conditionalFormatting sqref="BD87:BD88">
    <cfRule type="containsText" priority="428" operator="containsText" aboveAverage="0" equalAverage="0" bottom="0" percent="0" rank="0" text="NA" dxfId="2"/>
    <cfRule type="containsText" priority="429" operator="containsText" aboveAverage="0" equalAverage="0" bottom="0" percent="0" rank="0" text="Not Done" dxfId="3"/>
    <cfRule type="containsText" priority="430" operator="containsText" aboveAverage="0" equalAverage="0" bottom="0" percent="0" rank="0" text="Ongoing" dxfId="4"/>
    <cfRule type="containsText" priority="431" operator="containsText" aboveAverage="0" equalAverage="0" bottom="0" percent="0" rank="0" text="Complete" dxfId="5"/>
  </conditionalFormatting>
  <conditionalFormatting sqref="BD89">
    <cfRule type="containsText" priority="432" operator="containsText" aboveAverage="0" equalAverage="0" bottom="0" percent="0" rank="0" text="NA" dxfId="2"/>
    <cfRule type="containsText" priority="433" operator="containsText" aboveAverage="0" equalAverage="0" bottom="0" percent="0" rank="0" text="Not Done" dxfId="3"/>
    <cfRule type="containsText" priority="434" operator="containsText" aboveAverage="0" equalAverage="0" bottom="0" percent="0" rank="0" text="Ongoing" dxfId="4"/>
    <cfRule type="containsText" priority="435" operator="containsText" aboveAverage="0" equalAverage="0" bottom="0" percent="0" rank="0" text="Complete" dxfId="5"/>
  </conditionalFormatting>
  <conditionalFormatting sqref="AZ85:AZ88">
    <cfRule type="containsText" priority="436" operator="containsText" aboveAverage="0" equalAverage="0" bottom="0" percent="0" rank="0" text="NA" dxfId="2"/>
    <cfRule type="containsText" priority="437" operator="containsText" aboveAverage="0" equalAverage="0" bottom="0" percent="0" rank="0" text="Not Done" dxfId="3"/>
    <cfRule type="containsText" priority="438" operator="containsText" aboveAverage="0" equalAverage="0" bottom="0" percent="0" rank="0" text="Ongoing" dxfId="4"/>
    <cfRule type="containsText" priority="439" operator="containsText" aboveAverage="0" equalAverage="0" bottom="0" percent="0" rank="0" text="Complete" dxfId="5"/>
  </conditionalFormatting>
  <conditionalFormatting sqref="AZ11:AZ14">
    <cfRule type="containsText" priority="440" operator="containsText" aboveAverage="0" equalAverage="0" bottom="0" percent="0" rank="0" text="NA" dxfId="2"/>
    <cfRule type="containsText" priority="441" operator="containsText" aboveAverage="0" equalAverage="0" bottom="0" percent="0" rank="0" text="Not Done" dxfId="3"/>
    <cfRule type="containsText" priority="442" operator="containsText" aboveAverage="0" equalAverage="0" bottom="0" percent="0" rank="0" text="Ongoing" dxfId="4"/>
    <cfRule type="containsText" priority="443" operator="containsText" aboveAverage="0" equalAverage="0" bottom="0" percent="0" rank="0" text="Complete" dxfId="5"/>
  </conditionalFormatting>
  <conditionalFormatting sqref="AZ16:AZ17">
    <cfRule type="containsText" priority="444" operator="containsText" aboveAverage="0" equalAverage="0" bottom="0" percent="0" rank="0" text="NA" dxfId="2"/>
    <cfRule type="containsText" priority="445" operator="containsText" aboveAverage="0" equalAverage="0" bottom="0" percent="0" rank="0" text="Not Done" dxfId="3"/>
    <cfRule type="containsText" priority="446" operator="containsText" aboveAverage="0" equalAverage="0" bottom="0" percent="0" rank="0" text="Ongoing" dxfId="4"/>
    <cfRule type="containsText" priority="447" operator="containsText" aboveAverage="0" equalAverage="0" bottom="0" percent="0" rank="0" text="Complete" dxfId="5"/>
  </conditionalFormatting>
  <conditionalFormatting sqref="AZ16:AZ17">
    <cfRule type="containsText" priority="448" operator="containsText" aboveAverage="0" equalAverage="0" bottom="0" percent="0" rank="0" text="NA" dxfId="2"/>
    <cfRule type="containsText" priority="449" operator="containsText" aboveAverage="0" equalAverage="0" bottom="0" percent="0" rank="0" text="Not Done" dxfId="3"/>
    <cfRule type="containsText" priority="450" operator="containsText" aboveAverage="0" equalAverage="0" bottom="0" percent="0" rank="0" text="Ongoing" dxfId="4"/>
    <cfRule type="containsText" priority="451" operator="containsText" aboveAverage="0" equalAverage="0" bottom="0" percent="0" rank="0" text="Complete" dxfId="5"/>
  </conditionalFormatting>
  <conditionalFormatting sqref="AZ16:AZ17">
    <cfRule type="containsText" priority="452" operator="containsText" aboveAverage="0" equalAverage="0" bottom="0" percent="0" rank="0" text="NA" dxfId="2"/>
    <cfRule type="containsText" priority="453" operator="containsText" aboveAverage="0" equalAverage="0" bottom="0" percent="0" rank="0" text="Not Done" dxfId="3"/>
    <cfRule type="containsText" priority="454" operator="containsText" aboveAverage="0" equalAverage="0" bottom="0" percent="0" rank="0" text="Ongoing" dxfId="4"/>
    <cfRule type="containsText" priority="455" operator="containsText" aboveAverage="0" equalAverage="0" bottom="0" percent="0" rank="0" text="Complete" dxfId="5"/>
  </conditionalFormatting>
  <conditionalFormatting sqref="AZ19:AZ22">
    <cfRule type="containsText" priority="456" operator="containsText" aboveAverage="0" equalAverage="0" bottom="0" percent="0" rank="0" text="NA" dxfId="2"/>
    <cfRule type="containsText" priority="457" operator="containsText" aboveAverage="0" equalAverage="0" bottom="0" percent="0" rank="0" text="Not Done" dxfId="3"/>
    <cfRule type="containsText" priority="458" operator="containsText" aboveAverage="0" equalAverage="0" bottom="0" percent="0" rank="0" text="Ongoing" dxfId="4"/>
    <cfRule type="containsText" priority="459" operator="containsText" aboveAverage="0" equalAverage="0" bottom="0" percent="0" rank="0" text="Complete" dxfId="5"/>
  </conditionalFormatting>
  <conditionalFormatting sqref="AZ18:AZ19">
    <cfRule type="containsText" priority="460" operator="containsText" aboveAverage="0" equalAverage="0" bottom="0" percent="0" rank="0" text="NA" dxfId="2"/>
    <cfRule type="containsText" priority="461" operator="containsText" aboveAverage="0" equalAverage="0" bottom="0" percent="0" rank="0" text="Not Done" dxfId="3"/>
    <cfRule type="containsText" priority="462" operator="containsText" aboveAverage="0" equalAverage="0" bottom="0" percent="0" rank="0" text="Ongoing" dxfId="4"/>
    <cfRule type="containsText" priority="463" operator="containsText" aboveAverage="0" equalAverage="0" bottom="0" percent="0" rank="0" text="Complete" dxfId="5"/>
  </conditionalFormatting>
  <conditionalFormatting sqref="AZ18:AZ19">
    <cfRule type="containsText" priority="464" operator="containsText" aboveAverage="0" equalAverage="0" bottom="0" percent="0" rank="0" text="NA" dxfId="2"/>
    <cfRule type="containsText" priority="465" operator="containsText" aboveAverage="0" equalAverage="0" bottom="0" percent="0" rank="0" text="Not Done" dxfId="3"/>
    <cfRule type="containsText" priority="466" operator="containsText" aboveAverage="0" equalAverage="0" bottom="0" percent="0" rank="0" text="Ongoing" dxfId="4"/>
    <cfRule type="containsText" priority="467" operator="containsText" aboveAverage="0" equalAverage="0" bottom="0" percent="0" rank="0" text="Complete" dxfId="5"/>
  </conditionalFormatting>
  <conditionalFormatting sqref="AZ18:AZ19">
    <cfRule type="containsText" priority="468" operator="containsText" aboveAverage="0" equalAverage="0" bottom="0" percent="0" rank="0" text="NA" dxfId="2"/>
    <cfRule type="containsText" priority="469" operator="containsText" aboveAverage="0" equalAverage="0" bottom="0" percent="0" rank="0" text="Not Done" dxfId="3"/>
    <cfRule type="containsText" priority="470" operator="containsText" aboveAverage="0" equalAverage="0" bottom="0" percent="0" rank="0" text="Ongoing" dxfId="4"/>
    <cfRule type="containsText" priority="471" operator="containsText" aboveAverage="0" equalAverage="0" bottom="0" percent="0" rank="0" text="Complete" dxfId="5"/>
  </conditionalFormatting>
  <conditionalFormatting sqref="AZ20:AZ21">
    <cfRule type="containsText" priority="472" operator="containsText" aboveAverage="0" equalAverage="0" bottom="0" percent="0" rank="0" text="NA" dxfId="2"/>
    <cfRule type="containsText" priority="473" operator="containsText" aboveAverage="0" equalAverage="0" bottom="0" percent="0" rank="0" text="Not Done" dxfId="3"/>
    <cfRule type="containsText" priority="474" operator="containsText" aboveAverage="0" equalAverage="0" bottom="0" percent="0" rank="0" text="Ongoing" dxfId="4"/>
    <cfRule type="containsText" priority="475" operator="containsText" aboveAverage="0" equalAverage="0" bottom="0" percent="0" rank="0" text="Complete" dxfId="5"/>
  </conditionalFormatting>
  <conditionalFormatting sqref="AZ15">
    <cfRule type="containsText" priority="476" operator="containsText" aboveAverage="0" equalAverage="0" bottom="0" percent="0" rank="0" text="NA" dxfId="2"/>
    <cfRule type="containsText" priority="477" operator="containsText" aboveAverage="0" equalAverage="0" bottom="0" percent="0" rank="0" text="Not Done" dxfId="3"/>
    <cfRule type="containsText" priority="478" operator="containsText" aboveAverage="0" equalAverage="0" bottom="0" percent="0" rank="0" text="Ongoing" dxfId="4"/>
    <cfRule type="containsText" priority="479" operator="containsText" aboveAverage="0" equalAverage="0" bottom="0" percent="0" rank="0" text="Complete" dxfId="5"/>
  </conditionalFormatting>
  <conditionalFormatting sqref="BB28">
    <cfRule type="containsText" priority="480" operator="containsText" aboveAverage="0" equalAverage="0" bottom="0" percent="0" rank="0" text="NA" dxfId="2"/>
    <cfRule type="containsText" priority="481" operator="containsText" aboveAverage="0" equalAverage="0" bottom="0" percent="0" rank="0" text="Not Done" dxfId="3"/>
    <cfRule type="containsText" priority="482" operator="containsText" aboveAverage="0" equalAverage="0" bottom="0" percent="0" rank="0" text="Ongoing" dxfId="4"/>
    <cfRule type="containsText" priority="483" operator="containsText" aboveAverage="0" equalAverage="0" bottom="0" percent="0" rank="0" text="Complete" dxfId="5"/>
  </conditionalFormatting>
  <conditionalFormatting sqref="BB29">
    <cfRule type="containsText" priority="484" operator="containsText" aboveAverage="0" equalAverage="0" bottom="0" percent="0" rank="0" text="NA" dxfId="2"/>
    <cfRule type="containsText" priority="485" operator="containsText" aboveAverage="0" equalAverage="0" bottom="0" percent="0" rank="0" text="Not Done" dxfId="3"/>
    <cfRule type="containsText" priority="486" operator="containsText" aboveAverage="0" equalAverage="0" bottom="0" percent="0" rank="0" text="Ongoing" dxfId="4"/>
    <cfRule type="containsText" priority="487" operator="containsText" aboveAverage="0" equalAverage="0" bottom="0" percent="0" rank="0" text="Complete" dxfId="5"/>
  </conditionalFormatting>
  <conditionalFormatting sqref="BB30">
    <cfRule type="containsText" priority="488" operator="containsText" aboveAverage="0" equalAverage="0" bottom="0" percent="0" rank="0" text="NA" dxfId="2"/>
    <cfRule type="containsText" priority="489" operator="containsText" aboveAverage="0" equalAverage="0" bottom="0" percent="0" rank="0" text="Not Done" dxfId="3"/>
    <cfRule type="containsText" priority="490" operator="containsText" aboveAverage="0" equalAverage="0" bottom="0" percent="0" rank="0" text="Ongoing" dxfId="4"/>
    <cfRule type="containsText" priority="491" operator="containsText" aboveAverage="0" equalAverage="0" bottom="0" percent="0" rank="0" text="Complete" dxfId="5"/>
  </conditionalFormatting>
  <conditionalFormatting sqref="BB31">
    <cfRule type="containsText" priority="492" operator="containsText" aboveAverage="0" equalAverage="0" bottom="0" percent="0" rank="0" text="NA" dxfId="2"/>
    <cfRule type="containsText" priority="493" operator="containsText" aboveAverage="0" equalAverage="0" bottom="0" percent="0" rank="0" text="Not Done" dxfId="3"/>
    <cfRule type="containsText" priority="494" operator="containsText" aboveAverage="0" equalAverage="0" bottom="0" percent="0" rank="0" text="Ongoing" dxfId="4"/>
    <cfRule type="containsText" priority="495" operator="containsText" aboveAverage="0" equalAverage="0" bottom="0" percent="0" rank="0" text="Complete" dxfId="5"/>
  </conditionalFormatting>
  <conditionalFormatting sqref="BB32">
    <cfRule type="containsText" priority="496" operator="containsText" aboveAverage="0" equalAverage="0" bottom="0" percent="0" rank="0" text="NA" dxfId="2"/>
    <cfRule type="containsText" priority="497" operator="containsText" aboveAverage="0" equalAverage="0" bottom="0" percent="0" rank="0" text="Not Done" dxfId="3"/>
    <cfRule type="containsText" priority="498" operator="containsText" aboveAverage="0" equalAverage="0" bottom="0" percent="0" rank="0" text="Ongoing" dxfId="4"/>
    <cfRule type="containsText" priority="499" operator="containsText" aboveAverage="0" equalAverage="0" bottom="0" percent="0" rank="0" text="Complete" dxfId="5"/>
  </conditionalFormatting>
  <conditionalFormatting sqref="AX29:AX30">
    <cfRule type="containsText" priority="500" operator="containsText" aboveAverage="0" equalAverage="0" bottom="0" percent="0" rank="0" text="NA" dxfId="2"/>
    <cfRule type="containsText" priority="501" operator="containsText" aboveAverage="0" equalAverage="0" bottom="0" percent="0" rank="0" text="Not Done" dxfId="3"/>
    <cfRule type="containsText" priority="502" operator="containsText" aboveAverage="0" equalAverage="0" bottom="0" percent="0" rank="0" text="Ongoing" dxfId="4"/>
    <cfRule type="containsText" priority="503" operator="containsText" aboveAverage="0" equalAverage="0" bottom="0" percent="0" rank="0" text="Complete" dxfId="5"/>
  </conditionalFormatting>
  <conditionalFormatting sqref="AX29:AX30">
    <cfRule type="containsText" priority="504" operator="containsText" aboveAverage="0" equalAverage="0" bottom="0" percent="0" rank="0" text="NA" dxfId="2"/>
    <cfRule type="containsText" priority="505" operator="containsText" aboveAverage="0" equalAverage="0" bottom="0" percent="0" rank="0" text="Not Done" dxfId="3"/>
    <cfRule type="containsText" priority="506" operator="containsText" aboveAverage="0" equalAverage="0" bottom="0" percent="0" rank="0" text="Ongoing" dxfId="4"/>
    <cfRule type="containsText" priority="507" operator="containsText" aboveAverage="0" equalAverage="0" bottom="0" percent="0" rank="0" text="Complete" dxfId="5"/>
  </conditionalFormatting>
  <conditionalFormatting sqref="AX29:AX30">
    <cfRule type="containsText" priority="508" operator="containsText" aboveAverage="0" equalAverage="0" bottom="0" percent="0" rank="0" text="NA" dxfId="2"/>
    <cfRule type="containsText" priority="509" operator="containsText" aboveAverage="0" equalAverage="0" bottom="0" percent="0" rank="0" text="Not Done" dxfId="3"/>
    <cfRule type="containsText" priority="510" operator="containsText" aboveAverage="0" equalAverage="0" bottom="0" percent="0" rank="0" text="Ongoing" dxfId="4"/>
    <cfRule type="containsText" priority="511" operator="containsText" aboveAverage="0" equalAverage="0" bottom="0" percent="0" rank="0" text="Complete" dxfId="5"/>
  </conditionalFormatting>
  <conditionalFormatting sqref="AX28:AX30">
    <cfRule type="containsText" priority="512" operator="containsText" aboveAverage="0" equalAverage="0" bottom="0" percent="0" rank="0" text="NA" dxfId="2"/>
    <cfRule type="containsText" priority="513" operator="containsText" aboveAverage="0" equalAverage="0" bottom="0" percent="0" rank="0" text="Not Done" dxfId="3"/>
    <cfRule type="containsText" priority="514" operator="containsText" aboveAverage="0" equalAverage="0" bottom="0" percent="0" rank="0" text="Ongoing" dxfId="4"/>
    <cfRule type="containsText" priority="515" operator="containsText" aboveAverage="0" equalAverage="0" bottom="0" percent="0" rank="0" text="Complete" dxfId="5"/>
  </conditionalFormatting>
  <conditionalFormatting sqref="AX20:AX21">
    <cfRule type="containsText" priority="516" operator="containsText" aboveAverage="0" equalAverage="0" bottom="0" percent="0" rank="0" text="NA" dxfId="2"/>
    <cfRule type="containsText" priority="517" operator="containsText" aboveAverage="0" equalAverage="0" bottom="0" percent="0" rank="0" text="Not Done" dxfId="3"/>
    <cfRule type="containsText" priority="518" operator="containsText" aboveAverage="0" equalAverage="0" bottom="0" percent="0" rank="0" text="Ongoing" dxfId="4"/>
    <cfRule type="containsText" priority="519" operator="containsText" aboveAverage="0" equalAverage="0" bottom="0" percent="0" rank="0" text="Complete" dxfId="5"/>
  </conditionalFormatting>
  <conditionalFormatting sqref="AX20:AX21">
    <cfRule type="containsText" priority="520" operator="containsText" aboveAverage="0" equalAverage="0" bottom="0" percent="0" rank="0" text="NA" dxfId="2"/>
    <cfRule type="containsText" priority="521" operator="containsText" aboveAverage="0" equalAverage="0" bottom="0" percent="0" rank="0" text="Not Done" dxfId="3"/>
    <cfRule type="containsText" priority="522" operator="containsText" aboveAverage="0" equalAverage="0" bottom="0" percent="0" rank="0" text="Ongoing" dxfId="4"/>
    <cfRule type="containsText" priority="523" operator="containsText" aboveAverage="0" equalAverage="0" bottom="0" percent="0" rank="0" text="Complete" dxfId="5"/>
  </conditionalFormatting>
  <conditionalFormatting sqref="AX20:AX21">
    <cfRule type="containsText" priority="524" operator="containsText" aboveAverage="0" equalAverage="0" bottom="0" percent="0" rank="0" text="NA" dxfId="2"/>
    <cfRule type="containsText" priority="525" operator="containsText" aboveAverage="0" equalAverage="0" bottom="0" percent="0" rank="0" text="Not Done" dxfId="3"/>
    <cfRule type="containsText" priority="526" operator="containsText" aboveAverage="0" equalAverage="0" bottom="0" percent="0" rank="0" text="Ongoing" dxfId="4"/>
    <cfRule type="containsText" priority="527" operator="containsText" aboveAverage="0" equalAverage="0" bottom="0" percent="0" rank="0" text="Complete" dxfId="5"/>
  </conditionalFormatting>
  <conditionalFormatting sqref="AX19:AX21">
    <cfRule type="containsText" priority="528" operator="containsText" aboveAverage="0" equalAverage="0" bottom="0" percent="0" rank="0" text="NA" dxfId="2"/>
    <cfRule type="containsText" priority="529" operator="containsText" aboveAverage="0" equalAverage="0" bottom="0" percent="0" rank="0" text="Not Done" dxfId="3"/>
    <cfRule type="containsText" priority="530" operator="containsText" aboveAverage="0" equalAverage="0" bottom="0" percent="0" rank="0" text="Ongoing" dxfId="4"/>
    <cfRule type="containsText" priority="531" operator="containsText" aboveAverage="0" equalAverage="0" bottom="0" percent="0" rank="0" text="Complete" dxfId="5"/>
  </conditionalFormatting>
  <conditionalFormatting sqref="AX12:AX13">
    <cfRule type="containsText" priority="532" operator="containsText" aboveAverage="0" equalAverage="0" bottom="0" percent="0" rank="0" text="NA" dxfId="2"/>
    <cfRule type="containsText" priority="533" operator="containsText" aboveAverage="0" equalAverage="0" bottom="0" percent="0" rank="0" text="Not Done" dxfId="3"/>
    <cfRule type="containsText" priority="534" operator="containsText" aboveAverage="0" equalAverage="0" bottom="0" percent="0" rank="0" text="Ongoing" dxfId="4"/>
    <cfRule type="containsText" priority="535" operator="containsText" aboveAverage="0" equalAverage="0" bottom="0" percent="0" rank="0" text="Complete" dxfId="5"/>
  </conditionalFormatting>
  <conditionalFormatting sqref="AX12:AX13">
    <cfRule type="containsText" priority="536" operator="containsText" aboveAverage="0" equalAverage="0" bottom="0" percent="0" rank="0" text="NA" dxfId="2"/>
    <cfRule type="containsText" priority="537" operator="containsText" aboveAverage="0" equalAverage="0" bottom="0" percent="0" rank="0" text="Not Done" dxfId="3"/>
    <cfRule type="containsText" priority="538" operator="containsText" aboveAverage="0" equalAverage="0" bottom="0" percent="0" rank="0" text="Ongoing" dxfId="4"/>
    <cfRule type="containsText" priority="539" operator="containsText" aboveAverage="0" equalAverage="0" bottom="0" percent="0" rank="0" text="Complete" dxfId="5"/>
  </conditionalFormatting>
  <conditionalFormatting sqref="AX12:AX13">
    <cfRule type="containsText" priority="540" operator="containsText" aboveAverage="0" equalAverage="0" bottom="0" percent="0" rank="0" text="NA" dxfId="2"/>
    <cfRule type="containsText" priority="541" operator="containsText" aboveAverage="0" equalAverage="0" bottom="0" percent="0" rank="0" text="Not Done" dxfId="3"/>
    <cfRule type="containsText" priority="542" operator="containsText" aboveAverage="0" equalAverage="0" bottom="0" percent="0" rank="0" text="Ongoing" dxfId="4"/>
    <cfRule type="containsText" priority="543" operator="containsText" aboveAverage="0" equalAverage="0" bottom="0" percent="0" rank="0" text="Complete" dxfId="5"/>
  </conditionalFormatting>
  <conditionalFormatting sqref="AX11:AX13">
    <cfRule type="containsText" priority="544" operator="containsText" aboveAverage="0" equalAverage="0" bottom="0" percent="0" rank="0" text="NA" dxfId="2"/>
    <cfRule type="containsText" priority="545" operator="containsText" aboveAverage="0" equalAverage="0" bottom="0" percent="0" rank="0" text="Not Done" dxfId="3"/>
    <cfRule type="containsText" priority="546" operator="containsText" aboveAverage="0" equalAverage="0" bottom="0" percent="0" rank="0" text="Ongoing" dxfId="4"/>
    <cfRule type="containsText" priority="547" operator="containsText" aboveAverage="0" equalAverage="0" bottom="0" percent="0" rank="0" text="Complete" dxfId="5"/>
  </conditionalFormatting>
  <conditionalFormatting sqref="BD8:BD9">
    <cfRule type="containsText" priority="548" operator="containsText" aboveAverage="0" equalAverage="0" bottom="0" percent="0" rank="0" text="NA" dxfId="2"/>
    <cfRule type="containsText" priority="549" operator="containsText" aboveAverage="0" equalAverage="0" bottom="0" percent="0" rank="0" text="Not Done" dxfId="3"/>
    <cfRule type="containsText" priority="550" operator="containsText" aboveAverage="0" equalAverage="0" bottom="0" percent="0" rank="0" text="Ongoing" dxfId="4"/>
    <cfRule type="containsText" priority="551" operator="containsText" aboveAverage="0" equalAverage="0" bottom="0" percent="0" rank="0" text="Complete" dxfId="5"/>
  </conditionalFormatting>
  <conditionalFormatting sqref="BD8:BD9">
    <cfRule type="containsText" priority="552" operator="containsText" aboveAverage="0" equalAverage="0" bottom="0" percent="0" rank="0" text="NA" dxfId="2"/>
    <cfRule type="containsText" priority="553" operator="containsText" aboveAverage="0" equalAverage="0" bottom="0" percent="0" rank="0" text="Not Done" dxfId="3"/>
    <cfRule type="containsText" priority="554" operator="containsText" aboveAverage="0" equalAverage="0" bottom="0" percent="0" rank="0" text="Ongoing" dxfId="4"/>
    <cfRule type="containsText" priority="555" operator="containsText" aboveAverage="0" equalAverage="0" bottom="0" percent="0" rank="0" text="Complete" dxfId="5"/>
  </conditionalFormatting>
  <conditionalFormatting sqref="BD8:BD9">
    <cfRule type="containsText" priority="556" operator="containsText" aboveAverage="0" equalAverage="0" bottom="0" percent="0" rank="0" text="NA" dxfId="2"/>
    <cfRule type="containsText" priority="557" operator="containsText" aboveAverage="0" equalAverage="0" bottom="0" percent="0" rank="0" text="Not Done" dxfId="3"/>
    <cfRule type="containsText" priority="558" operator="containsText" aboveAverage="0" equalAverage="0" bottom="0" percent="0" rank="0" text="Ongoing" dxfId="4"/>
    <cfRule type="containsText" priority="559" operator="containsText" aboveAverage="0" equalAverage="0" bottom="0" percent="0" rank="0" text="Complete" dxfId="5"/>
  </conditionalFormatting>
  <conditionalFormatting sqref="BD7:BD9">
    <cfRule type="containsText" priority="560" operator="containsText" aboveAverage="0" equalAverage="0" bottom="0" percent="0" rank="0" text="NA" dxfId="2"/>
    <cfRule type="containsText" priority="561" operator="containsText" aboveAverage="0" equalAverage="0" bottom="0" percent="0" rank="0" text="Not Done" dxfId="3"/>
    <cfRule type="containsText" priority="562" operator="containsText" aboveAverage="0" equalAverage="0" bottom="0" percent="0" rank="0" text="Ongoing" dxfId="4"/>
    <cfRule type="containsText" priority="563" operator="containsText" aboveAverage="0" equalAverage="0" bottom="0" percent="0" rank="0" text="Complete" dxfId="5"/>
  </conditionalFormatting>
  <conditionalFormatting sqref="BD29:BD30">
    <cfRule type="containsText" priority="564" operator="containsText" aboveAverage="0" equalAverage="0" bottom="0" percent="0" rank="0" text="NA" dxfId="2"/>
    <cfRule type="containsText" priority="565" operator="containsText" aboveAverage="0" equalAverage="0" bottom="0" percent="0" rank="0" text="Not Done" dxfId="3"/>
    <cfRule type="containsText" priority="566" operator="containsText" aboveAverage="0" equalAverage="0" bottom="0" percent="0" rank="0" text="Ongoing" dxfId="4"/>
    <cfRule type="containsText" priority="567" operator="containsText" aboveAverage="0" equalAverage="0" bottom="0" percent="0" rank="0" text="Complete" dxfId="5"/>
  </conditionalFormatting>
  <conditionalFormatting sqref="BD29:BD30">
    <cfRule type="containsText" priority="568" operator="containsText" aboveAverage="0" equalAverage="0" bottom="0" percent="0" rank="0" text="NA" dxfId="2"/>
    <cfRule type="containsText" priority="569" operator="containsText" aboveAverage="0" equalAverage="0" bottom="0" percent="0" rank="0" text="Not Done" dxfId="3"/>
    <cfRule type="containsText" priority="570" operator="containsText" aboveAverage="0" equalAverage="0" bottom="0" percent="0" rank="0" text="Ongoing" dxfId="4"/>
    <cfRule type="containsText" priority="571" operator="containsText" aboveAverage="0" equalAverage="0" bottom="0" percent="0" rank="0" text="Complete" dxfId="5"/>
  </conditionalFormatting>
  <conditionalFormatting sqref="BD29:BD30">
    <cfRule type="containsText" priority="572" operator="containsText" aboveAverage="0" equalAverage="0" bottom="0" percent="0" rank="0" text="NA" dxfId="2"/>
    <cfRule type="containsText" priority="573" operator="containsText" aboveAverage="0" equalAverage="0" bottom="0" percent="0" rank="0" text="Not Done" dxfId="3"/>
    <cfRule type="containsText" priority="574" operator="containsText" aboveAverage="0" equalAverage="0" bottom="0" percent="0" rank="0" text="Ongoing" dxfId="4"/>
    <cfRule type="containsText" priority="575" operator="containsText" aboveAverage="0" equalAverage="0" bottom="0" percent="0" rank="0" text="Complete" dxfId="5"/>
  </conditionalFormatting>
  <conditionalFormatting sqref="BD28:BD30">
    <cfRule type="containsText" priority="576" operator="containsText" aboveAverage="0" equalAverage="0" bottom="0" percent="0" rank="0" text="NA" dxfId="2"/>
    <cfRule type="containsText" priority="577" operator="containsText" aboveAverage="0" equalAverage="0" bottom="0" percent="0" rank="0" text="Not Done" dxfId="3"/>
    <cfRule type="containsText" priority="578" operator="containsText" aboveAverage="0" equalAverage="0" bottom="0" percent="0" rank="0" text="Ongoing" dxfId="4"/>
    <cfRule type="containsText" priority="579" operator="containsText" aboveAverage="0" equalAverage="0" bottom="0" percent="0" rank="0" text="Complete" dxfId="5"/>
  </conditionalFormatting>
  <conditionalFormatting sqref="BB51:BB52">
    <cfRule type="containsText" priority="580" operator="containsText" aboveAverage="0" equalAverage="0" bottom="0" percent="0" rank="0" text="NA" dxfId="2"/>
    <cfRule type="containsText" priority="581" operator="containsText" aboveAverage="0" equalAverage="0" bottom="0" percent="0" rank="0" text="Not Done" dxfId="3"/>
    <cfRule type="containsText" priority="582" operator="containsText" aboveAverage="0" equalAverage="0" bottom="0" percent="0" rank="0" text="Ongoing" dxfId="4"/>
    <cfRule type="containsText" priority="583" operator="containsText" aboveAverage="0" equalAverage="0" bottom="0" percent="0" rank="0" text="Complete" dxfId="5"/>
  </conditionalFormatting>
  <conditionalFormatting sqref="BB51:BB52">
    <cfRule type="containsText" priority="584" operator="containsText" aboveAverage="0" equalAverage="0" bottom="0" percent="0" rank="0" text="NA" dxfId="2"/>
    <cfRule type="containsText" priority="585" operator="containsText" aboveAverage="0" equalAverage="0" bottom="0" percent="0" rank="0" text="Not Done" dxfId="3"/>
    <cfRule type="containsText" priority="586" operator="containsText" aboveAverage="0" equalAverage="0" bottom="0" percent="0" rank="0" text="Ongoing" dxfId="4"/>
    <cfRule type="containsText" priority="587" operator="containsText" aboveAverage="0" equalAverage="0" bottom="0" percent="0" rank="0" text="Complete" dxfId="5"/>
  </conditionalFormatting>
  <conditionalFormatting sqref="BB51:BB52">
    <cfRule type="containsText" priority="588" operator="containsText" aboveAverage="0" equalAverage="0" bottom="0" percent="0" rank="0" text="NA" dxfId="2"/>
    <cfRule type="containsText" priority="589" operator="containsText" aboveAverage="0" equalAverage="0" bottom="0" percent="0" rank="0" text="Not Done" dxfId="3"/>
    <cfRule type="containsText" priority="590" operator="containsText" aboveAverage="0" equalAverage="0" bottom="0" percent="0" rank="0" text="Ongoing" dxfId="4"/>
    <cfRule type="containsText" priority="591" operator="containsText" aboveAverage="0" equalAverage="0" bottom="0" percent="0" rank="0" text="Complete" dxfId="5"/>
  </conditionalFormatting>
  <conditionalFormatting sqref="BB50:BB52">
    <cfRule type="containsText" priority="592" operator="containsText" aboveAverage="0" equalAverage="0" bottom="0" percent="0" rank="0" text="NA" dxfId="2"/>
    <cfRule type="containsText" priority="593" operator="containsText" aboveAverage="0" equalAverage="0" bottom="0" percent="0" rank="0" text="Not Done" dxfId="3"/>
    <cfRule type="containsText" priority="594" operator="containsText" aboveAverage="0" equalAverage="0" bottom="0" percent="0" rank="0" text="Ongoing" dxfId="4"/>
    <cfRule type="containsText" priority="595" operator="containsText" aboveAverage="0" equalAverage="0" bottom="0" percent="0" rank="0" text="Complete" dxfId="5"/>
  </conditionalFormatting>
  <conditionalFormatting sqref="AZ67:AZ68">
    <cfRule type="containsText" priority="596" operator="containsText" aboveAverage="0" equalAverage="0" bottom="0" percent="0" rank="0" text="NA" dxfId="2"/>
    <cfRule type="containsText" priority="597" operator="containsText" aboveAverage="0" equalAverage="0" bottom="0" percent="0" rank="0" text="Not Done" dxfId="3"/>
    <cfRule type="containsText" priority="598" operator="containsText" aboveAverage="0" equalAverage="0" bottom="0" percent="0" rank="0" text="Ongoing" dxfId="4"/>
    <cfRule type="containsText" priority="599" operator="containsText" aboveAverage="0" equalAverage="0" bottom="0" percent="0" rank="0" text="Complete" dxfId="5"/>
  </conditionalFormatting>
  <conditionalFormatting sqref="AZ67:AZ68">
    <cfRule type="containsText" priority="600" operator="containsText" aboveAverage="0" equalAverage="0" bottom="0" percent="0" rank="0" text="NA" dxfId="2"/>
    <cfRule type="containsText" priority="601" operator="containsText" aboveAverage="0" equalAverage="0" bottom="0" percent="0" rank="0" text="Not Done" dxfId="3"/>
    <cfRule type="containsText" priority="602" operator="containsText" aboveAverage="0" equalAverage="0" bottom="0" percent="0" rank="0" text="Ongoing" dxfId="4"/>
    <cfRule type="containsText" priority="603" operator="containsText" aboveAverage="0" equalAverage="0" bottom="0" percent="0" rank="0" text="Complete" dxfId="5"/>
  </conditionalFormatting>
  <conditionalFormatting sqref="AZ67:AZ68">
    <cfRule type="containsText" priority="604" operator="containsText" aboveAverage="0" equalAverage="0" bottom="0" percent="0" rank="0" text="NA" dxfId="2"/>
    <cfRule type="containsText" priority="605" operator="containsText" aboveAverage="0" equalAverage="0" bottom="0" percent="0" rank="0" text="Not Done" dxfId="3"/>
    <cfRule type="containsText" priority="606" operator="containsText" aboveAverage="0" equalAverage="0" bottom="0" percent="0" rank="0" text="Ongoing" dxfId="4"/>
    <cfRule type="containsText" priority="607" operator="containsText" aboveAverage="0" equalAverage="0" bottom="0" percent="0" rank="0" text="Complete" dxfId="5"/>
  </conditionalFormatting>
  <conditionalFormatting sqref="AZ66:AZ68">
    <cfRule type="containsText" priority="608" operator="containsText" aboveAverage="0" equalAverage="0" bottom="0" percent="0" rank="0" text="NA" dxfId="2"/>
    <cfRule type="containsText" priority="609" operator="containsText" aboveAverage="0" equalAverage="0" bottom="0" percent="0" rank="0" text="Not Done" dxfId="3"/>
    <cfRule type="containsText" priority="610" operator="containsText" aboveAverage="0" equalAverage="0" bottom="0" percent="0" rank="0" text="Ongoing" dxfId="4"/>
    <cfRule type="containsText" priority="611" operator="containsText" aboveAverage="0" equalAverage="0" bottom="0" percent="0" rank="0" text="Complete" dxfId="5"/>
  </conditionalFormatting>
  <conditionalFormatting sqref="AZ69:AZ71">
    <cfRule type="containsText" priority="612" operator="containsText" aboveAverage="0" equalAverage="0" bottom="0" percent="0" rank="0" text="NA" dxfId="2"/>
    <cfRule type="containsText" priority="613" operator="containsText" aboveAverage="0" equalAverage="0" bottom="0" percent="0" rank="0" text="Not Done" dxfId="3"/>
    <cfRule type="containsText" priority="614" operator="containsText" aboveAverage="0" equalAverage="0" bottom="0" percent="0" rank="0" text="Ongoing" dxfId="4"/>
    <cfRule type="containsText" priority="615" operator="containsText" aboveAverage="0" equalAverage="0" bottom="0" percent="0" rank="0" text="Complete" dxfId="5"/>
  </conditionalFormatting>
  <conditionalFormatting sqref="AZ72">
    <cfRule type="containsText" priority="616" operator="containsText" aboveAverage="0" equalAverage="0" bottom="0" percent="0" rank="0" text="NA" dxfId="2"/>
    <cfRule type="containsText" priority="617" operator="containsText" aboveAverage="0" equalAverage="0" bottom="0" percent="0" rank="0" text="Not Done" dxfId="3"/>
    <cfRule type="containsText" priority="618" operator="containsText" aboveAverage="0" equalAverage="0" bottom="0" percent="0" rank="0" text="Ongoing" dxfId="4"/>
    <cfRule type="containsText" priority="619" operator="containsText" aboveAverage="0" equalAverage="0" bottom="0" percent="0" rank="0" text="Complete" dxfId="5"/>
  </conditionalFormatting>
  <conditionalFormatting sqref="AZ72">
    <cfRule type="containsText" priority="620" operator="containsText" aboveAverage="0" equalAverage="0" bottom="0" percent="0" rank="0" text="NA" dxfId="2"/>
    <cfRule type="containsText" priority="621" operator="containsText" aboveAverage="0" equalAverage="0" bottom="0" percent="0" rank="0" text="Not Done" dxfId="3"/>
    <cfRule type="containsText" priority="622" operator="containsText" aboveAverage="0" equalAverage="0" bottom="0" percent="0" rank="0" text="Ongoing" dxfId="4"/>
    <cfRule type="containsText" priority="623" operator="containsText" aboveAverage="0" equalAverage="0" bottom="0" percent="0" rank="0" text="Complete" dxfId="5"/>
  </conditionalFormatting>
  <conditionalFormatting sqref="AZ72">
    <cfRule type="containsText" priority="624" operator="containsText" aboveAverage="0" equalAverage="0" bottom="0" percent="0" rank="0" text="NA" dxfId="2"/>
    <cfRule type="containsText" priority="625" operator="containsText" aboveAverage="0" equalAverage="0" bottom="0" percent="0" rank="0" text="Not Done" dxfId="3"/>
    <cfRule type="containsText" priority="626" operator="containsText" aboveAverage="0" equalAverage="0" bottom="0" percent="0" rank="0" text="Ongoing" dxfId="4"/>
    <cfRule type="containsText" priority="627" operator="containsText" aboveAverage="0" equalAverage="0" bottom="0" percent="0" rank="0" text="Complete" dxfId="5"/>
  </conditionalFormatting>
  <conditionalFormatting sqref="BB53:BB55">
    <cfRule type="containsText" priority="628" operator="containsText" aboveAverage="0" equalAverage="0" bottom="0" percent="0" rank="0" text="NA" dxfId="2"/>
    <cfRule type="containsText" priority="629" operator="containsText" aboveAverage="0" equalAverage="0" bottom="0" percent="0" rank="0" text="Not Done" dxfId="3"/>
    <cfRule type="containsText" priority="630" operator="containsText" aboveAverage="0" equalAverage="0" bottom="0" percent="0" rank="0" text="Ongoing" dxfId="4"/>
    <cfRule type="containsText" priority="631" operator="containsText" aboveAverage="0" equalAverage="0" bottom="0" percent="0" rank="0" text="Complete" dxfId="5"/>
  </conditionalFormatting>
  <conditionalFormatting sqref="BD75">
    <cfRule type="containsText" priority="632" operator="containsText" aboveAverage="0" equalAverage="0" bottom="0" percent="0" rank="0" text="NA" dxfId="2"/>
    <cfRule type="containsText" priority="633" operator="containsText" aboveAverage="0" equalAverage="0" bottom="0" percent="0" rank="0" text="Not Done" dxfId="3"/>
    <cfRule type="containsText" priority="634" operator="containsText" aboveAverage="0" equalAverage="0" bottom="0" percent="0" rank="0" text="Ongoing" dxfId="4"/>
    <cfRule type="containsText" priority="635" operator="containsText" aboveAverage="0" equalAverage="0" bottom="0" percent="0" rank="0" text="Complete" dxfId="5"/>
  </conditionalFormatting>
  <conditionalFormatting sqref="BD69">
    <cfRule type="containsText" priority="636" operator="containsText" aboveAverage="0" equalAverage="0" bottom="0" percent="0" rank="0" text="NA" dxfId="2"/>
    <cfRule type="containsText" priority="637" operator="containsText" aboveAverage="0" equalAverage="0" bottom="0" percent="0" rank="0" text="Not Done" dxfId="3"/>
    <cfRule type="containsText" priority="638" operator="containsText" aboveAverage="0" equalAverage="0" bottom="0" percent="0" rank="0" text="Ongoing" dxfId="4"/>
    <cfRule type="containsText" priority="639" operator="containsText" aboveAverage="0" equalAverage="0" bottom="0" percent="0" rank="0" text="Complete" dxfId="5"/>
  </conditionalFormatting>
  <conditionalFormatting sqref="BD70">
    <cfRule type="containsText" priority="640" operator="containsText" aboveAverage="0" equalAverage="0" bottom="0" percent="0" rank="0" text="NA" dxfId="2"/>
    <cfRule type="containsText" priority="641" operator="containsText" aboveAverage="0" equalAverage="0" bottom="0" percent="0" rank="0" text="Not Done" dxfId="3"/>
    <cfRule type="containsText" priority="642" operator="containsText" aboveAverage="0" equalAverage="0" bottom="0" percent="0" rank="0" text="Ongoing" dxfId="4"/>
    <cfRule type="containsText" priority="643" operator="containsText" aboveAverage="0" equalAverage="0" bottom="0" percent="0" rank="0" text="Complete" dxfId="5"/>
  </conditionalFormatting>
  <conditionalFormatting sqref="AZ89">
    <cfRule type="containsText" priority="644" operator="containsText" aboveAverage="0" equalAverage="0" bottom="0" percent="0" rank="0" text="NA" dxfId="2"/>
    <cfRule type="containsText" priority="645" operator="containsText" aboveAverage="0" equalAverage="0" bottom="0" percent="0" rank="0" text="Not Done" dxfId="3"/>
    <cfRule type="containsText" priority="646" operator="containsText" aboveAverage="0" equalAverage="0" bottom="0" percent="0" rank="0" text="Ongoing" dxfId="4"/>
    <cfRule type="containsText" priority="647" operator="containsText" aboveAverage="0" equalAverage="0" bottom="0" percent="0" rank="0" text="Complete" dxfId="5"/>
  </conditionalFormatting>
  <conditionalFormatting sqref="BB87">
    <cfRule type="containsText" priority="648" operator="containsText" aboveAverage="0" equalAverage="0" bottom="0" percent="0" rank="0" text="NA" dxfId="2"/>
    <cfRule type="containsText" priority="649" operator="containsText" aboveAverage="0" equalAverage="0" bottom="0" percent="0" rank="0" text="Not Done" dxfId="3"/>
    <cfRule type="containsText" priority="650" operator="containsText" aboveAverage="0" equalAverage="0" bottom="0" percent="0" rank="0" text="Ongoing" dxfId="4"/>
    <cfRule type="containsText" priority="651" operator="containsText" aboveAverage="0" equalAverage="0" bottom="0" percent="0" rank="0" text="Complete" dxfId="5"/>
  </conditionalFormatting>
  <conditionalFormatting sqref="BB87">
    <cfRule type="containsText" priority="652" operator="containsText" aboveAverage="0" equalAverage="0" bottom="0" percent="0" rank="0" text="NA" dxfId="2"/>
    <cfRule type="containsText" priority="653" operator="containsText" aboveAverage="0" equalAverage="0" bottom="0" percent="0" rank="0" text="Not Done" dxfId="3"/>
    <cfRule type="containsText" priority="654" operator="containsText" aboveAverage="0" equalAverage="0" bottom="0" percent="0" rank="0" text="Ongoing" dxfId="4"/>
    <cfRule type="containsText" priority="655" operator="containsText" aboveAverage="0" equalAverage="0" bottom="0" percent="0" rank="0" text="Complete" dxfId="5"/>
  </conditionalFormatting>
  <conditionalFormatting sqref="BB87">
    <cfRule type="containsText" priority="656" operator="containsText" aboveAverage="0" equalAverage="0" bottom="0" percent="0" rank="0" text="NA" dxfId="2"/>
    <cfRule type="containsText" priority="657" operator="containsText" aboveAverage="0" equalAverage="0" bottom="0" percent="0" rank="0" text="Not Done" dxfId="3"/>
    <cfRule type="containsText" priority="658" operator="containsText" aboveAverage="0" equalAverage="0" bottom="0" percent="0" rank="0" text="Ongoing" dxfId="4"/>
    <cfRule type="containsText" priority="659" operator="containsText" aboveAverage="0" equalAverage="0" bottom="0" percent="0" rank="0" text="Complete" dxfId="5"/>
  </conditionalFormatting>
  <conditionalFormatting sqref="BD86">
    <cfRule type="containsText" priority="660" operator="containsText" aboveAverage="0" equalAverage="0" bottom="0" percent="0" rank="0" text="NA" dxfId="2"/>
    <cfRule type="containsText" priority="661" operator="containsText" aboveAverage="0" equalAverage="0" bottom="0" percent="0" rank="0" text="Not Done" dxfId="3"/>
    <cfRule type="containsText" priority="662" operator="containsText" aboveAverage="0" equalAverage="0" bottom="0" percent="0" rank="0" text="Ongoing" dxfId="4"/>
    <cfRule type="containsText" priority="663" operator="containsText" aboveAverage="0" equalAverage="0" bottom="0" percent="0" rank="0" text="Complete" dxfId="5"/>
  </conditionalFormatting>
  <conditionalFormatting sqref="BD86">
    <cfRule type="containsText" priority="664" operator="containsText" aboveAverage="0" equalAverage="0" bottom="0" percent="0" rank="0" text="NA" dxfId="2"/>
    <cfRule type="containsText" priority="665" operator="containsText" aboveAverage="0" equalAverage="0" bottom="0" percent="0" rank="0" text="Not Done" dxfId="3"/>
    <cfRule type="containsText" priority="666" operator="containsText" aboveAverage="0" equalAverage="0" bottom="0" percent="0" rank="0" text="Ongoing" dxfId="4"/>
    <cfRule type="containsText" priority="667" operator="containsText" aboveAverage="0" equalAverage="0" bottom="0" percent="0" rank="0" text="Complete" dxfId="5"/>
  </conditionalFormatting>
  <conditionalFormatting sqref="BD86">
    <cfRule type="containsText" priority="668" operator="containsText" aboveAverage="0" equalAverage="0" bottom="0" percent="0" rank="0" text="NA" dxfId="2"/>
    <cfRule type="containsText" priority="669" operator="containsText" aboveAverage="0" equalAverage="0" bottom="0" percent="0" rank="0" text="Not Done" dxfId="3"/>
    <cfRule type="containsText" priority="670" operator="containsText" aboveAverage="0" equalAverage="0" bottom="0" percent="0" rank="0" text="Ongoing" dxfId="4"/>
    <cfRule type="containsText" priority="671" operator="containsText" aboveAverage="0" equalAverage="0" bottom="0" percent="0" rank="0" text="Complete" dxfId="5"/>
  </conditionalFormatting>
  <conditionalFormatting sqref="BF43:BF44 BF7:BF14">
    <cfRule type="containsText" priority="672" operator="containsText" aboveAverage="0" equalAverage="0" bottom="0" percent="0" rank="0" text="NA" dxfId="2"/>
    <cfRule type="containsText" priority="673" operator="containsText" aboveAverage="0" equalAverage="0" bottom="0" percent="0" rank="0" text="Not Done" dxfId="3"/>
    <cfRule type="containsText" priority="674" operator="containsText" aboveAverage="0" equalAverage="0" bottom="0" percent="0" rank="0" text="Ongoing" dxfId="4"/>
    <cfRule type="containsText" priority="675" operator="containsText" aboveAverage="0" equalAverage="0" bottom="0" percent="0" rank="0" text="Complete" dxfId="5"/>
  </conditionalFormatting>
  <conditionalFormatting sqref="BF49">
    <cfRule type="containsText" priority="676" operator="containsText" aboveAverage="0" equalAverage="0" bottom="0" percent="0" rank="0" text="NA" dxfId="2"/>
    <cfRule type="containsText" priority="677" operator="containsText" aboveAverage="0" equalAverage="0" bottom="0" percent="0" rank="0" text="Not Done" dxfId="3"/>
    <cfRule type="containsText" priority="678" operator="containsText" aboveAverage="0" equalAverage="0" bottom="0" percent="0" rank="0" text="Ongoing" dxfId="4"/>
    <cfRule type="containsText" priority="679" operator="containsText" aboveAverage="0" equalAverage="0" bottom="0" percent="0" rank="0" text="Complete" dxfId="5"/>
  </conditionalFormatting>
  <conditionalFormatting sqref="BF48:BF49">
    <cfRule type="containsText" priority="680" operator="containsText" aboveAverage="0" equalAverage="0" bottom="0" percent="0" rank="0" text="NA" dxfId="2"/>
    <cfRule type="containsText" priority="681" operator="containsText" aboveAverage="0" equalAverage="0" bottom="0" percent="0" rank="0" text="Not Done" dxfId="3"/>
    <cfRule type="containsText" priority="682" operator="containsText" aboveAverage="0" equalAverage="0" bottom="0" percent="0" rank="0" text="Ongoing" dxfId="4"/>
    <cfRule type="containsText" priority="683" operator="containsText" aboveAverage="0" equalAverage="0" bottom="0" percent="0" rank="0" text="Complete" dxfId="5"/>
  </conditionalFormatting>
  <conditionalFormatting sqref="BF48:BF49">
    <cfRule type="containsText" priority="684" operator="containsText" aboveAverage="0" equalAverage="0" bottom="0" percent="0" rank="0" text="NA" dxfId="2"/>
    <cfRule type="containsText" priority="685" operator="containsText" aboveAverage="0" equalAverage="0" bottom="0" percent="0" rank="0" text="Not Done" dxfId="3"/>
    <cfRule type="containsText" priority="686" operator="containsText" aboveAverage="0" equalAverage="0" bottom="0" percent="0" rank="0" text="Ongoing" dxfId="4"/>
    <cfRule type="containsText" priority="687" operator="containsText" aboveAverage="0" equalAverage="0" bottom="0" percent="0" rank="0" text="Complete" dxfId="5"/>
  </conditionalFormatting>
  <conditionalFormatting sqref="BF48:BF49">
    <cfRule type="containsText" priority="688" operator="containsText" aboveAverage="0" equalAverage="0" bottom="0" percent="0" rank="0" text="NA" dxfId="2"/>
    <cfRule type="containsText" priority="689" operator="containsText" aboveAverage="0" equalAverage="0" bottom="0" percent="0" rank="0" text="Not Done" dxfId="3"/>
    <cfRule type="containsText" priority="690" operator="containsText" aboveAverage="0" equalAverage="0" bottom="0" percent="0" rank="0" text="Ongoing" dxfId="4"/>
    <cfRule type="containsText" priority="691" operator="containsText" aboveAverage="0" equalAverage="0" bottom="0" percent="0" rank="0" text="Complete" dxfId="5"/>
  </conditionalFormatting>
  <conditionalFormatting sqref="BF73:BF78">
    <cfRule type="containsText" priority="692" operator="containsText" aboveAverage="0" equalAverage="0" bottom="0" percent="0" rank="0" text="NA" dxfId="2"/>
    <cfRule type="containsText" priority="693" operator="containsText" aboveAverage="0" equalAverage="0" bottom="0" percent="0" rank="0" text="Not Done" dxfId="3"/>
    <cfRule type="containsText" priority="694" operator="containsText" aboveAverage="0" equalAverage="0" bottom="0" percent="0" rank="0" text="Ongoing" dxfId="4"/>
    <cfRule type="containsText" priority="695" operator="containsText" aboveAverage="0" equalAverage="0" bottom="0" percent="0" rank="0" text="Complete" dxfId="5"/>
  </conditionalFormatting>
  <conditionalFormatting sqref="BF73:BF78">
    <cfRule type="containsText" priority="696" operator="containsText" aboveAverage="0" equalAverage="0" bottom="0" percent="0" rank="0" text="NA" dxfId="2"/>
    <cfRule type="containsText" priority="697" operator="containsText" aboveAverage="0" equalAverage="0" bottom="0" percent="0" rank="0" text="Not Done" dxfId="3"/>
    <cfRule type="containsText" priority="698" operator="containsText" aboveAverage="0" equalAverage="0" bottom="0" percent="0" rank="0" text="Ongoing" dxfId="4"/>
    <cfRule type="containsText" priority="699" operator="containsText" aboveAverage="0" equalAverage="0" bottom="0" percent="0" rank="0" text="Complete" dxfId="5"/>
  </conditionalFormatting>
  <conditionalFormatting sqref="BF73:BF78">
    <cfRule type="containsText" priority="700" operator="containsText" aboveAverage="0" equalAverage="0" bottom="0" percent="0" rank="0" text="NA" dxfId="2"/>
    <cfRule type="containsText" priority="701" operator="containsText" aboveAverage="0" equalAverage="0" bottom="0" percent="0" rank="0" text="Not Done" dxfId="3"/>
    <cfRule type="containsText" priority="702" operator="containsText" aboveAverage="0" equalAverage="0" bottom="0" percent="0" rank="0" text="Ongoing" dxfId="4"/>
    <cfRule type="containsText" priority="703" operator="containsText" aboveAverage="0" equalAverage="0" bottom="0" percent="0" rank="0" text="Complete" dxfId="5"/>
  </conditionalFormatting>
  <conditionalFormatting sqref="BF3:BF6">
    <cfRule type="containsText" priority="704" operator="containsText" aboveAverage="0" equalAverage="0" bottom="0" percent="0" rank="0" text="NA" dxfId="2"/>
    <cfRule type="containsText" priority="705" operator="containsText" aboveAverage="0" equalAverage="0" bottom="0" percent="0" rank="0" text="Not Done" dxfId="3"/>
    <cfRule type="containsText" priority="706" operator="containsText" aboveAverage="0" equalAverage="0" bottom="0" percent="0" rank="0" text="Ongoing" dxfId="4"/>
    <cfRule type="containsText" priority="707" operator="containsText" aboveAverage="0" equalAverage="0" bottom="0" percent="0" rank="0" text="Complete" dxfId="5"/>
  </conditionalFormatting>
  <conditionalFormatting sqref="BF51:BF71">
    <cfRule type="containsText" priority="708" operator="containsText" aboveAverage="0" equalAverage="0" bottom="0" percent="0" rank="0" text="NA" dxfId="2"/>
    <cfRule type="containsText" priority="709" operator="containsText" aboveAverage="0" equalAverage="0" bottom="0" percent="0" rank="0" text="Not Done" dxfId="3"/>
    <cfRule type="containsText" priority="710" operator="containsText" aboveAverage="0" equalAverage="0" bottom="0" percent="0" rank="0" text="Ongoing" dxfId="4"/>
    <cfRule type="containsText" priority="711" operator="containsText" aboveAverage="0" equalAverage="0" bottom="0" percent="0" rank="0" text="Complete" dxfId="5"/>
  </conditionalFormatting>
  <conditionalFormatting sqref="BF15:BF19">
    <cfRule type="containsText" priority="712" operator="containsText" aboveAverage="0" equalAverage="0" bottom="0" percent="0" rank="0" text="NA" dxfId="2"/>
    <cfRule type="containsText" priority="713" operator="containsText" aboveAverage="0" equalAverage="0" bottom="0" percent="0" rank="0" text="Not Done" dxfId="3"/>
    <cfRule type="containsText" priority="714" operator="containsText" aboveAverage="0" equalAverage="0" bottom="0" percent="0" rank="0" text="Ongoing" dxfId="4"/>
    <cfRule type="containsText" priority="715" operator="containsText" aboveAverage="0" equalAverage="0" bottom="0" percent="0" rank="0" text="Complete" dxfId="5"/>
  </conditionalFormatting>
  <conditionalFormatting sqref="BF15:BF19">
    <cfRule type="containsText" priority="716" operator="containsText" aboveAverage="0" equalAverage="0" bottom="0" percent="0" rank="0" text="NA" dxfId="2"/>
    <cfRule type="containsText" priority="717" operator="containsText" aboveAverage="0" equalAverage="0" bottom="0" percent="0" rank="0" text="Not Done" dxfId="3"/>
    <cfRule type="containsText" priority="718" operator="containsText" aboveAverage="0" equalAverage="0" bottom="0" percent="0" rank="0" text="Ongoing" dxfId="4"/>
    <cfRule type="containsText" priority="719" operator="containsText" aboveAverage="0" equalAverage="0" bottom="0" percent="0" rank="0" text="Complete" dxfId="5"/>
  </conditionalFormatting>
  <conditionalFormatting sqref="BF15:BF19">
    <cfRule type="containsText" priority="720" operator="containsText" aboveAverage="0" equalAverage="0" bottom="0" percent="0" rank="0" text="NA" dxfId="2"/>
    <cfRule type="containsText" priority="721" operator="containsText" aboveAverage="0" equalAverage="0" bottom="0" percent="0" rank="0" text="Not Done" dxfId="3"/>
    <cfRule type="containsText" priority="722" operator="containsText" aboveAverage="0" equalAverage="0" bottom="0" percent="0" rank="0" text="Ongoing" dxfId="4"/>
    <cfRule type="containsText" priority="723" operator="containsText" aboveAverage="0" equalAverage="0" bottom="0" percent="0" rank="0" text="Complete" dxfId="5"/>
  </conditionalFormatting>
  <conditionalFormatting sqref="BF26:BF28">
    <cfRule type="containsText" priority="724" operator="containsText" aboveAverage="0" equalAverage="0" bottom="0" percent="0" rank="0" text="NA" dxfId="2"/>
    <cfRule type="containsText" priority="725" operator="containsText" aboveAverage="0" equalAverage="0" bottom="0" percent="0" rank="0" text="Not Done" dxfId="3"/>
    <cfRule type="containsText" priority="726" operator="containsText" aboveAverage="0" equalAverage="0" bottom="0" percent="0" rank="0" text="Ongoing" dxfId="4"/>
    <cfRule type="containsText" priority="727" operator="containsText" aboveAverage="0" equalAverage="0" bottom="0" percent="0" rank="0" text="Complete" dxfId="5"/>
  </conditionalFormatting>
  <conditionalFormatting sqref="BF26:BF28">
    <cfRule type="containsText" priority="728" operator="containsText" aboveAverage="0" equalAverage="0" bottom="0" percent="0" rank="0" text="NA" dxfId="2"/>
    <cfRule type="containsText" priority="729" operator="containsText" aboveAverage="0" equalAverage="0" bottom="0" percent="0" rank="0" text="Not Done" dxfId="3"/>
    <cfRule type="containsText" priority="730" operator="containsText" aboveAverage="0" equalAverage="0" bottom="0" percent="0" rank="0" text="Ongoing" dxfId="4"/>
    <cfRule type="containsText" priority="731" operator="containsText" aboveAverage="0" equalAverage="0" bottom="0" percent="0" rank="0" text="Complete" dxfId="5"/>
  </conditionalFormatting>
  <conditionalFormatting sqref="BF26:BF28">
    <cfRule type="containsText" priority="732" operator="containsText" aboveAverage="0" equalAverage="0" bottom="0" percent="0" rank="0" text="NA" dxfId="2"/>
    <cfRule type="containsText" priority="733" operator="containsText" aboveAverage="0" equalAverage="0" bottom="0" percent="0" rank="0" text="Not Done" dxfId="3"/>
    <cfRule type="containsText" priority="734" operator="containsText" aboveAverage="0" equalAverage="0" bottom="0" percent="0" rank="0" text="Ongoing" dxfId="4"/>
    <cfRule type="containsText" priority="735" operator="containsText" aboveAverage="0" equalAverage="0" bottom="0" percent="0" rank="0" text="Complete" dxfId="5"/>
  </conditionalFormatting>
  <conditionalFormatting sqref="BF30:BF41">
    <cfRule type="containsText" priority="736" operator="containsText" aboveAverage="0" equalAverage="0" bottom="0" percent="0" rank="0" text="NA" dxfId="2"/>
    <cfRule type="containsText" priority="737" operator="containsText" aboveAverage="0" equalAverage="0" bottom="0" percent="0" rank="0" text="Not Done" dxfId="3"/>
    <cfRule type="containsText" priority="738" operator="containsText" aboveAverage="0" equalAverage="0" bottom="0" percent="0" rank="0" text="Ongoing" dxfId="4"/>
    <cfRule type="containsText" priority="739" operator="containsText" aboveAverage="0" equalAverage="0" bottom="0" percent="0" rank="0" text="Complete" dxfId="5"/>
  </conditionalFormatting>
  <conditionalFormatting sqref="BF30:BF41">
    <cfRule type="containsText" priority="740" operator="containsText" aboveAverage="0" equalAverage="0" bottom="0" percent="0" rank="0" text="NA" dxfId="2"/>
    <cfRule type="containsText" priority="741" operator="containsText" aboveAverage="0" equalAverage="0" bottom="0" percent="0" rank="0" text="Not Done" dxfId="3"/>
    <cfRule type="containsText" priority="742" operator="containsText" aboveAverage="0" equalAverage="0" bottom="0" percent="0" rank="0" text="Ongoing" dxfId="4"/>
    <cfRule type="containsText" priority="743" operator="containsText" aboveAverage="0" equalAverage="0" bottom="0" percent="0" rank="0" text="Complete" dxfId="5"/>
  </conditionalFormatting>
  <conditionalFormatting sqref="BF30:BF41">
    <cfRule type="containsText" priority="744" operator="containsText" aboveAverage="0" equalAverage="0" bottom="0" percent="0" rank="0" text="NA" dxfId="2"/>
    <cfRule type="containsText" priority="745" operator="containsText" aboveAverage="0" equalAverage="0" bottom="0" percent="0" rank="0" text="Not Done" dxfId="3"/>
    <cfRule type="containsText" priority="746" operator="containsText" aboveAverage="0" equalAverage="0" bottom="0" percent="0" rank="0" text="Ongoing" dxfId="4"/>
    <cfRule type="containsText" priority="747" operator="containsText" aboveAverage="0" equalAverage="0" bottom="0" percent="0" rank="0" text="Complete" dxfId="5"/>
  </conditionalFormatting>
  <conditionalFormatting sqref="BF25:BF28">
    <cfRule type="containsText" priority="748" operator="containsText" aboveAverage="0" equalAverage="0" bottom="0" percent="0" rank="0" text="NA" dxfId="2"/>
    <cfRule type="containsText" priority="749" operator="containsText" aboveAverage="0" equalAverage="0" bottom="0" percent="0" rank="0" text="Not Done" dxfId="3"/>
    <cfRule type="containsText" priority="750" operator="containsText" aboveAverage="0" equalAverage="0" bottom="0" percent="0" rank="0" text="Ongoing" dxfId="4"/>
    <cfRule type="containsText" priority="751" operator="containsText" aboveAverage="0" equalAverage="0" bottom="0" percent="0" rank="0" text="Complete" dxfId="5"/>
  </conditionalFormatting>
  <conditionalFormatting sqref="BF30:BF37">
    <cfRule type="containsText" priority="752" operator="containsText" aboveAverage="0" equalAverage="0" bottom="0" percent="0" rank="0" text="NA" dxfId="2"/>
    <cfRule type="containsText" priority="753" operator="containsText" aboveAverage="0" equalAverage="0" bottom="0" percent="0" rank="0" text="Not Done" dxfId="3"/>
    <cfRule type="containsText" priority="754" operator="containsText" aboveAverage="0" equalAverage="0" bottom="0" percent="0" rank="0" text="Ongoing" dxfId="4"/>
    <cfRule type="containsText" priority="755" operator="containsText" aboveAverage="0" equalAverage="0" bottom="0" percent="0" rank="0" text="Complete" dxfId="5"/>
  </conditionalFormatting>
  <conditionalFormatting sqref="BF31:BF34">
    <cfRule type="containsText" priority="756" operator="containsText" aboveAverage="0" equalAverage="0" bottom="0" percent="0" rank="0" text="NA" dxfId="2"/>
    <cfRule type="containsText" priority="757" operator="containsText" aboveAverage="0" equalAverage="0" bottom="0" percent="0" rank="0" text="Not Done" dxfId="3"/>
    <cfRule type="containsText" priority="758" operator="containsText" aboveAverage="0" equalAverage="0" bottom="0" percent="0" rank="0" text="Ongoing" dxfId="4"/>
    <cfRule type="containsText" priority="759" operator="containsText" aboveAverage="0" equalAverage="0" bottom="0" percent="0" rank="0" text="Complete" dxfId="5"/>
  </conditionalFormatting>
  <conditionalFormatting sqref="BF35">
    <cfRule type="containsText" priority="760" operator="containsText" aboveAverage="0" equalAverage="0" bottom="0" percent="0" rank="0" text="NA" dxfId="2"/>
    <cfRule type="containsText" priority="761" operator="containsText" aboveAverage="0" equalAverage="0" bottom="0" percent="0" rank="0" text="Not Done" dxfId="3"/>
    <cfRule type="containsText" priority="762" operator="containsText" aboveAverage="0" equalAverage="0" bottom="0" percent="0" rank="0" text="Ongoing" dxfId="4"/>
    <cfRule type="containsText" priority="763" operator="containsText" aboveAverage="0" equalAverage="0" bottom="0" percent="0" rank="0" text="Complete" dxfId="5"/>
  </conditionalFormatting>
  <conditionalFormatting sqref="BF29:BF30">
    <cfRule type="containsText" priority="764" operator="containsText" aboveAverage="0" equalAverage="0" bottom="0" percent="0" rank="0" text="NA" dxfId="2"/>
    <cfRule type="containsText" priority="765" operator="containsText" aboveAverage="0" equalAverage="0" bottom="0" percent="0" rank="0" text="Not Done" dxfId="3"/>
    <cfRule type="containsText" priority="766" operator="containsText" aboveAverage="0" equalAverage="0" bottom="0" percent="0" rank="0" text="Ongoing" dxfId="4"/>
    <cfRule type="containsText" priority="767" operator="containsText" aboveAverage="0" equalAverage="0" bottom="0" percent="0" rank="0" text="Complete" dxfId="5"/>
  </conditionalFormatting>
  <conditionalFormatting sqref="BF29:BF30">
    <cfRule type="containsText" priority="768" operator="containsText" aboveAverage="0" equalAverage="0" bottom="0" percent="0" rank="0" text="NA" dxfId="2"/>
    <cfRule type="containsText" priority="769" operator="containsText" aboveAverage="0" equalAverage="0" bottom="0" percent="0" rank="0" text="Not Done" dxfId="3"/>
    <cfRule type="containsText" priority="770" operator="containsText" aboveAverage="0" equalAverage="0" bottom="0" percent="0" rank="0" text="Ongoing" dxfId="4"/>
    <cfRule type="containsText" priority="771" operator="containsText" aboveAverage="0" equalAverage="0" bottom="0" percent="0" rank="0" text="Complete" dxfId="5"/>
  </conditionalFormatting>
  <conditionalFormatting sqref="BF29:BF30">
    <cfRule type="containsText" priority="772" operator="containsText" aboveAverage="0" equalAverage="0" bottom="0" percent="0" rank="0" text="NA" dxfId="2"/>
    <cfRule type="containsText" priority="773" operator="containsText" aboveAverage="0" equalAverage="0" bottom="0" percent="0" rank="0" text="Not Done" dxfId="3"/>
    <cfRule type="containsText" priority="774" operator="containsText" aboveAverage="0" equalAverage="0" bottom="0" percent="0" rank="0" text="Ongoing" dxfId="4"/>
    <cfRule type="containsText" priority="775" operator="containsText" aboveAverage="0" equalAverage="0" bottom="0" percent="0" rank="0" text="Complete" dxfId="5"/>
  </conditionalFormatting>
  <conditionalFormatting sqref="BF63:BF70 BF52:BF58">
    <cfRule type="containsText" priority="776" operator="containsText" aboveAverage="0" equalAverage="0" bottom="0" percent="0" rank="0" text="NA" dxfId="2"/>
    <cfRule type="containsText" priority="777" operator="containsText" aboveAverage="0" equalAverage="0" bottom="0" percent="0" rank="0" text="Not Done" dxfId="3"/>
    <cfRule type="containsText" priority="778" operator="containsText" aboveAverage="0" equalAverage="0" bottom="0" percent="0" rank="0" text="Ongoing" dxfId="4"/>
    <cfRule type="containsText" priority="779" operator="containsText" aboveAverage="0" equalAverage="0" bottom="0" percent="0" rank="0" text="Complete" dxfId="5"/>
  </conditionalFormatting>
  <conditionalFormatting sqref="BF63:BF70 BF52:BF58">
    <cfRule type="containsText" priority="780" operator="containsText" aboveAverage="0" equalAverage="0" bottom="0" percent="0" rank="0" text="NA" dxfId="2"/>
    <cfRule type="containsText" priority="781" operator="containsText" aboveAverage="0" equalAverage="0" bottom="0" percent="0" rank="0" text="Not Done" dxfId="3"/>
    <cfRule type="containsText" priority="782" operator="containsText" aboveAverage="0" equalAverage="0" bottom="0" percent="0" rank="0" text="Ongoing" dxfId="4"/>
    <cfRule type="containsText" priority="783" operator="containsText" aboveAverage="0" equalAverage="0" bottom="0" percent="0" rank="0" text="Complete" dxfId="5"/>
  </conditionalFormatting>
  <conditionalFormatting sqref="BF63:BF70 BF52:BF58">
    <cfRule type="containsText" priority="784" operator="containsText" aboveAverage="0" equalAverage="0" bottom="0" percent="0" rank="0" text="NA" dxfId="2"/>
    <cfRule type="containsText" priority="785" operator="containsText" aboveAverage="0" equalAverage="0" bottom="0" percent="0" rank="0" text="Not Done" dxfId="3"/>
    <cfRule type="containsText" priority="786" operator="containsText" aboveAverage="0" equalAverage="0" bottom="0" percent="0" rank="0" text="Ongoing" dxfId="4"/>
    <cfRule type="containsText" priority="787" operator="containsText" aboveAverage="0" equalAverage="0" bottom="0" percent="0" rank="0" text="Complete" dxfId="5"/>
  </conditionalFormatting>
  <conditionalFormatting sqref="BF59:BF62">
    <cfRule type="containsText" priority="788" operator="containsText" aboveAverage="0" equalAverage="0" bottom="0" percent="0" rank="0" text="NA" dxfId="2"/>
    <cfRule type="containsText" priority="789" operator="containsText" aboveAverage="0" equalAverage="0" bottom="0" percent="0" rank="0" text="Not Done" dxfId="3"/>
    <cfRule type="containsText" priority="790" operator="containsText" aboveAverage="0" equalAverage="0" bottom="0" percent="0" rank="0" text="Ongoing" dxfId="4"/>
    <cfRule type="containsText" priority="791" operator="containsText" aboveAverage="0" equalAverage="0" bottom="0" percent="0" rank="0" text="Complete" dxfId="5"/>
  </conditionalFormatting>
  <conditionalFormatting sqref="BF50:BF51">
    <cfRule type="containsText" priority="792" operator="containsText" aboveAverage="0" equalAverage="0" bottom="0" percent="0" rank="0" text="NA" dxfId="2"/>
    <cfRule type="containsText" priority="793" operator="containsText" aboveAverage="0" equalAverage="0" bottom="0" percent="0" rank="0" text="Not Done" dxfId="3"/>
    <cfRule type="containsText" priority="794" operator="containsText" aboveAverage="0" equalAverage="0" bottom="0" percent="0" rank="0" text="Ongoing" dxfId="4"/>
    <cfRule type="containsText" priority="795" operator="containsText" aboveAverage="0" equalAverage="0" bottom="0" percent="0" rank="0" text="Complete" dxfId="5"/>
  </conditionalFormatting>
  <conditionalFormatting sqref="BF72:BF73">
    <cfRule type="containsText" priority="796" operator="containsText" aboveAverage="0" equalAverage="0" bottom="0" percent="0" rank="0" text="NA" dxfId="2"/>
    <cfRule type="containsText" priority="797" operator="containsText" aboveAverage="0" equalAverage="0" bottom="0" percent="0" rank="0" text="Not Done" dxfId="3"/>
    <cfRule type="containsText" priority="798" operator="containsText" aboveAverage="0" equalAverage="0" bottom="0" percent="0" rank="0" text="Ongoing" dxfId="4"/>
    <cfRule type="containsText" priority="799" operator="containsText" aboveAverage="0" equalAverage="0" bottom="0" percent="0" rank="0" text="Complete" dxfId="5"/>
  </conditionalFormatting>
  <conditionalFormatting sqref="BF72:BF73">
    <cfRule type="containsText" priority="800" operator="containsText" aboveAverage="0" equalAverage="0" bottom="0" percent="0" rank="0" text="NA" dxfId="2"/>
    <cfRule type="containsText" priority="801" operator="containsText" aboveAverage="0" equalAverage="0" bottom="0" percent="0" rank="0" text="Not Done" dxfId="3"/>
    <cfRule type="containsText" priority="802" operator="containsText" aboveAverage="0" equalAverage="0" bottom="0" percent="0" rank="0" text="Ongoing" dxfId="4"/>
    <cfRule type="containsText" priority="803" operator="containsText" aboveAverage="0" equalAverage="0" bottom="0" percent="0" rank="0" text="Complete" dxfId="5"/>
  </conditionalFormatting>
  <conditionalFormatting sqref="BF72:BF73">
    <cfRule type="containsText" priority="804" operator="containsText" aboveAverage="0" equalAverage="0" bottom="0" percent="0" rank="0" text="NA" dxfId="2"/>
    <cfRule type="containsText" priority="805" operator="containsText" aboveAverage="0" equalAverage="0" bottom="0" percent="0" rank="0" text="Not Done" dxfId="3"/>
    <cfRule type="containsText" priority="806" operator="containsText" aboveAverage="0" equalAverage="0" bottom="0" percent="0" rank="0" text="Ongoing" dxfId="4"/>
    <cfRule type="containsText" priority="807" operator="containsText" aboveAverage="0" equalAverage="0" bottom="0" percent="0" rank="0" text="Complete" dxfId="5"/>
  </conditionalFormatting>
  <conditionalFormatting sqref="BF74:BF75">
    <cfRule type="containsText" priority="808" operator="containsText" aboveAverage="0" equalAverage="0" bottom="0" percent="0" rank="0" text="NA" dxfId="2"/>
    <cfRule type="containsText" priority="809" operator="containsText" aboveAverage="0" equalAverage="0" bottom="0" percent="0" rank="0" text="Not Done" dxfId="3"/>
    <cfRule type="containsText" priority="810" operator="containsText" aboveAverage="0" equalAverage="0" bottom="0" percent="0" rank="0" text="Ongoing" dxfId="4"/>
    <cfRule type="containsText" priority="811" operator="containsText" aboveAverage="0" equalAverage="0" bottom="0" percent="0" rank="0" text="Complete" dxfId="5"/>
  </conditionalFormatting>
  <conditionalFormatting sqref="BF20">
    <cfRule type="containsText" priority="812" operator="containsText" aboveAverage="0" equalAverage="0" bottom="0" percent="0" rank="0" text="NA" dxfId="2"/>
    <cfRule type="containsText" priority="813" operator="containsText" aboveAverage="0" equalAverage="0" bottom="0" percent="0" rank="0" text="Not Done" dxfId="3"/>
    <cfRule type="containsText" priority="814" operator="containsText" aboveAverage="0" equalAverage="0" bottom="0" percent="0" rank="0" text="Ongoing" dxfId="4"/>
    <cfRule type="containsText" priority="815" operator="containsText" aboveAverage="0" equalAverage="0" bottom="0" percent="0" rank="0" text="Complete" dxfId="5"/>
  </conditionalFormatting>
  <conditionalFormatting sqref="BF21">
    <cfRule type="containsText" priority="816" operator="containsText" aboveAverage="0" equalAverage="0" bottom="0" percent="0" rank="0" text="NA" dxfId="2"/>
    <cfRule type="containsText" priority="817" operator="containsText" aboveAverage="0" equalAverage="0" bottom="0" percent="0" rank="0" text="Not Done" dxfId="3"/>
    <cfRule type="containsText" priority="818" operator="containsText" aboveAverage="0" equalAverage="0" bottom="0" percent="0" rank="0" text="Ongoing" dxfId="4"/>
    <cfRule type="containsText" priority="819" operator="containsText" aboveAverage="0" equalAverage="0" bottom="0" percent="0" rank="0" text="Complete" dxfId="5"/>
  </conditionalFormatting>
  <conditionalFormatting sqref="BF22">
    <cfRule type="containsText" priority="820" operator="containsText" aboveAverage="0" equalAverage="0" bottom="0" percent="0" rank="0" text="NA" dxfId="2"/>
    <cfRule type="containsText" priority="821" operator="containsText" aboveAverage="0" equalAverage="0" bottom="0" percent="0" rank="0" text="Not Done" dxfId="3"/>
    <cfRule type="containsText" priority="822" operator="containsText" aboveAverage="0" equalAverage="0" bottom="0" percent="0" rank="0" text="Ongoing" dxfId="4"/>
    <cfRule type="containsText" priority="823" operator="containsText" aboveAverage="0" equalAverage="0" bottom="0" percent="0" rank="0" text="Complete" dxfId="5"/>
  </conditionalFormatting>
  <conditionalFormatting sqref="BF23">
    <cfRule type="containsText" priority="824" operator="containsText" aboveAverage="0" equalAverage="0" bottom="0" percent="0" rank="0" text="NA" dxfId="2"/>
    <cfRule type="containsText" priority="825" operator="containsText" aboveAverage="0" equalAverage="0" bottom="0" percent="0" rank="0" text="Not Done" dxfId="3"/>
    <cfRule type="containsText" priority="826" operator="containsText" aboveAverage="0" equalAverage="0" bottom="0" percent="0" rank="0" text="Ongoing" dxfId="4"/>
    <cfRule type="containsText" priority="827" operator="containsText" aboveAverage="0" equalAverage="0" bottom="0" percent="0" rank="0" text="Complete" dxfId="5"/>
  </conditionalFormatting>
  <conditionalFormatting sqref="BF24">
    <cfRule type="containsText" priority="828" operator="containsText" aboveAverage="0" equalAverage="0" bottom="0" percent="0" rank="0" text="NA" dxfId="2"/>
    <cfRule type="containsText" priority="829" operator="containsText" aboveAverage="0" equalAverage="0" bottom="0" percent="0" rank="0" text="Not Done" dxfId="3"/>
    <cfRule type="containsText" priority="830" operator="containsText" aboveAverage="0" equalAverage="0" bottom="0" percent="0" rank="0" text="Ongoing" dxfId="4"/>
    <cfRule type="containsText" priority="831" operator="containsText" aboveAverage="0" equalAverage="0" bottom="0" percent="0" rank="0" text="Complete" dxfId="5"/>
  </conditionalFormatting>
  <conditionalFormatting sqref="BF43:BF44">
    <cfRule type="containsText" priority="832" operator="containsText" aboveAverage="0" equalAverage="0" bottom="0" percent="0" rank="0" text="NA" dxfId="2"/>
    <cfRule type="containsText" priority="833" operator="containsText" aboveAverage="0" equalAverage="0" bottom="0" percent="0" rank="0" text="Not Done" dxfId="3"/>
    <cfRule type="containsText" priority="834" operator="containsText" aboveAverage="0" equalAverage="0" bottom="0" percent="0" rank="0" text="Ongoing" dxfId="4"/>
    <cfRule type="containsText" priority="835" operator="containsText" aboveAverage="0" equalAverage="0" bottom="0" percent="0" rank="0" text="Complete" dxfId="5"/>
  </conditionalFormatting>
  <conditionalFormatting sqref="BF43:BF44">
    <cfRule type="containsText" priority="836" operator="containsText" aboveAverage="0" equalAverage="0" bottom="0" percent="0" rank="0" text="NA" dxfId="2"/>
    <cfRule type="containsText" priority="837" operator="containsText" aboveAverage="0" equalAverage="0" bottom="0" percent="0" rank="0" text="Not Done" dxfId="3"/>
    <cfRule type="containsText" priority="838" operator="containsText" aboveAverage="0" equalAverage="0" bottom="0" percent="0" rank="0" text="Ongoing" dxfId="4"/>
    <cfRule type="containsText" priority="839" operator="containsText" aboveAverage="0" equalAverage="0" bottom="0" percent="0" rank="0" text="Complete" dxfId="5"/>
  </conditionalFormatting>
  <conditionalFormatting sqref="BF43:BF44">
    <cfRule type="containsText" priority="840" operator="containsText" aboveAverage="0" equalAverage="0" bottom="0" percent="0" rank="0" text="NA" dxfId="2"/>
    <cfRule type="containsText" priority="841" operator="containsText" aboveAverage="0" equalAverage="0" bottom="0" percent="0" rank="0" text="Not Done" dxfId="3"/>
    <cfRule type="containsText" priority="842" operator="containsText" aboveAverage="0" equalAverage="0" bottom="0" percent="0" rank="0" text="Ongoing" dxfId="4"/>
    <cfRule type="containsText" priority="843" operator="containsText" aboveAverage="0" equalAverage="0" bottom="0" percent="0" rank="0" text="Complete" dxfId="5"/>
  </conditionalFormatting>
  <conditionalFormatting sqref="BF42:BF44">
    <cfRule type="containsText" priority="844" operator="containsText" aboveAverage="0" equalAverage="0" bottom="0" percent="0" rank="0" text="NA" dxfId="2"/>
    <cfRule type="containsText" priority="845" operator="containsText" aboveAverage="0" equalAverage="0" bottom="0" percent="0" rank="0" text="Not Done" dxfId="3"/>
    <cfRule type="containsText" priority="846" operator="containsText" aboveAverage="0" equalAverage="0" bottom="0" percent="0" rank="0" text="Ongoing" dxfId="4"/>
    <cfRule type="containsText" priority="847" operator="containsText" aboveAverage="0" equalAverage="0" bottom="0" percent="0" rank="0" text="Complete" dxfId="5"/>
  </conditionalFormatting>
  <conditionalFormatting sqref="BF45:BF47">
    <cfRule type="containsText" priority="848" operator="containsText" aboveAverage="0" equalAverage="0" bottom="0" percent="0" rank="0" text="NA" dxfId="2"/>
    <cfRule type="containsText" priority="849" operator="containsText" aboveAverage="0" equalAverage="0" bottom="0" percent="0" rank="0" text="Not Done" dxfId="3"/>
    <cfRule type="containsText" priority="850" operator="containsText" aboveAverage="0" equalAverage="0" bottom="0" percent="0" rank="0" text="Ongoing" dxfId="4"/>
    <cfRule type="containsText" priority="851" operator="containsText" aboveAverage="0" equalAverage="0" bottom="0" percent="0" rank="0" text="Complete" dxfId="5"/>
  </conditionalFormatting>
  <conditionalFormatting sqref="BF79">
    <cfRule type="containsText" priority="852" operator="containsText" aboveAverage="0" equalAverage="0" bottom="0" percent="0" rank="0" text="NA" dxfId="2"/>
    <cfRule type="containsText" priority="853" operator="containsText" aboveAverage="0" equalAverage="0" bottom="0" percent="0" rank="0" text="Not Done" dxfId="3"/>
    <cfRule type="containsText" priority="854" operator="containsText" aboveAverage="0" equalAverage="0" bottom="0" percent="0" rank="0" text="Ongoing" dxfId="4"/>
    <cfRule type="containsText" priority="855" operator="containsText" aboveAverage="0" equalAverage="0" bottom="0" percent="0" rank="0" text="Complete" dxfId="5"/>
  </conditionalFormatting>
  <conditionalFormatting sqref="BF79">
    <cfRule type="containsText" priority="856" operator="containsText" aboveAverage="0" equalAverage="0" bottom="0" percent="0" rank="0" text="NA" dxfId="2"/>
    <cfRule type="containsText" priority="857" operator="containsText" aboveAverage="0" equalAverage="0" bottom="0" percent="0" rank="0" text="Not Done" dxfId="3"/>
    <cfRule type="containsText" priority="858" operator="containsText" aboveAverage="0" equalAverage="0" bottom="0" percent="0" rank="0" text="Ongoing" dxfId="4"/>
    <cfRule type="containsText" priority="859" operator="containsText" aboveAverage="0" equalAverage="0" bottom="0" percent="0" rank="0" text="Complete" dxfId="5"/>
  </conditionalFormatting>
  <conditionalFormatting sqref="BF79">
    <cfRule type="containsText" priority="860" operator="containsText" aboveAverage="0" equalAverage="0" bottom="0" percent="0" rank="0" text="NA" dxfId="2"/>
    <cfRule type="containsText" priority="861" operator="containsText" aboveAverage="0" equalAverage="0" bottom="0" percent="0" rank="0" text="Not Done" dxfId="3"/>
    <cfRule type="containsText" priority="862" operator="containsText" aboveAverage="0" equalAverage="0" bottom="0" percent="0" rank="0" text="Ongoing" dxfId="4"/>
    <cfRule type="containsText" priority="863" operator="containsText" aboveAverage="0" equalAverage="0" bottom="0" percent="0" rank="0" text="Complete" dxfId="5"/>
  </conditionalFormatting>
  <conditionalFormatting sqref="BF86:BF98 BF80:BF81">
    <cfRule type="containsText" priority="864" operator="containsText" aboveAverage="0" equalAverage="0" bottom="0" percent="0" rank="0" text="NA" dxfId="2"/>
    <cfRule type="containsText" priority="865" operator="containsText" aboveAverage="0" equalAverage="0" bottom="0" percent="0" rank="0" text="Not Done" dxfId="3"/>
    <cfRule type="containsText" priority="866" operator="containsText" aboveAverage="0" equalAverage="0" bottom="0" percent="0" rank="0" text="Ongoing" dxfId="4"/>
    <cfRule type="containsText" priority="867" operator="containsText" aboveAverage="0" equalAverage="0" bottom="0" percent="0" rank="0" text="Complete" dxfId="5"/>
  </conditionalFormatting>
  <conditionalFormatting sqref="BF86:BF98 BF80:BF81">
    <cfRule type="containsText" priority="868" operator="containsText" aboveAverage="0" equalAverage="0" bottom="0" percent="0" rank="0" text="NA" dxfId="2"/>
    <cfRule type="containsText" priority="869" operator="containsText" aboveAverage="0" equalAverage="0" bottom="0" percent="0" rank="0" text="Not Done" dxfId="3"/>
    <cfRule type="containsText" priority="870" operator="containsText" aboveAverage="0" equalAverage="0" bottom="0" percent="0" rank="0" text="Ongoing" dxfId="4"/>
    <cfRule type="containsText" priority="871" operator="containsText" aboveAverage="0" equalAverage="0" bottom="0" percent="0" rank="0" text="Complete" dxfId="5"/>
  </conditionalFormatting>
  <conditionalFormatting sqref="BF82:BF85">
    <cfRule type="containsText" priority="872" operator="containsText" aboveAverage="0" equalAverage="0" bottom="0" percent="0" rank="0" text="NA" dxfId="2"/>
    <cfRule type="containsText" priority="873" operator="containsText" aboveAverage="0" equalAverage="0" bottom="0" percent="0" rank="0" text="Not Done" dxfId="3"/>
    <cfRule type="containsText" priority="874" operator="containsText" aboveAverage="0" equalAverage="0" bottom="0" percent="0" rank="0" text="Ongoing" dxfId="4"/>
    <cfRule type="containsText" priority="875" operator="containsText" aboveAverage="0" equalAverage="0" bottom="0" percent="0" rank="0" text="Complete" dxfId="5"/>
  </conditionalFormatting>
  <dataValidations count="5">
    <dataValidation allowBlank="true" operator="between" showDropDown="false" showErrorMessage="true" showInputMessage="false" sqref="I3:I89" type="list">
      <formula1>"High,Medium,Low"</formula1>
      <formula2>0</formula2>
    </dataValidation>
    <dataValidation allowBlank="true" operator="between" showDropDown="false" showErrorMessage="true" showInputMessage="true" sqref="R3:AI89" type="list">
      <formula1>"1"</formula1>
      <formula2>0</formula2>
    </dataValidation>
    <dataValidation allowBlank="true" operator="between" showDropDown="false" showErrorMessage="true" showInputMessage="true" sqref="AV3:AV99 AX3:AX89 AZ3:AZ89 BB3:BB89 BD3:BD89 BF3:BF98 AV100:AV116" type="list">
      <formula1>"Complete,Ongoing,Not Done,NA"</formula1>
      <formula2>0</formula2>
    </dataValidation>
    <dataValidation allowBlank="true" operator="between" showDropDown="false" showErrorMessage="true" showInputMessage="true" sqref="F3:F89" type="list">
      <formula1>"Funded,Unfunded"</formula1>
      <formula2>0</formula2>
    </dataValidation>
    <dataValidation allowBlank="true" operator="between" showDropDown="false" showErrorMessage="true" showInputMessage="true" sqref="G3:G89" type="list">
      <formula1>"Secured,Unsecured"</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0.xml><?xml version="1.0" encoding="utf-8"?>
<worksheet xmlns="http://schemas.openxmlformats.org/spreadsheetml/2006/main" xmlns:r="http://schemas.openxmlformats.org/officeDocument/2006/relationships">
  <sheetPr filterMode="false">
    <pageSetUpPr fitToPage="false"/>
  </sheetPr>
  <dimension ref="C1:L1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4" zeroHeight="false" outlineLevelRow="0" outlineLevelCol="0"/>
  <cols>
    <col collapsed="false" customWidth="true" hidden="false" outlineLevel="0" max="1" min="1" style="58" width="3.34"/>
    <col collapsed="false" customWidth="true" hidden="false" outlineLevel="0" max="2" min="2" style="58" width="36.88"/>
    <col collapsed="false" customWidth="true" hidden="false" outlineLevel="0" max="3" min="3" style="58" width="40.88"/>
    <col collapsed="false" customWidth="true" hidden="false" outlineLevel="0" max="4" min="4" style="58" width="14.22"/>
    <col collapsed="false" customWidth="true" hidden="false" outlineLevel="0" max="5" min="5" style="58" width="9.55"/>
    <col collapsed="false" customWidth="true" hidden="false" outlineLevel="0" max="6" min="6" style="58" width="5.22"/>
    <col collapsed="false" customWidth="true" hidden="false" outlineLevel="0" max="7" min="7" style="58" width="2.22"/>
    <col collapsed="false" customWidth="true" hidden="false" outlineLevel="0" max="8" min="8" style="58" width="40.33"/>
    <col collapsed="false" customWidth="true" hidden="false" outlineLevel="0" max="9" min="9" style="58" width="16.22"/>
    <col collapsed="false" customWidth="true" hidden="false" outlineLevel="0" max="10" min="10" style="58" width="2.11"/>
    <col collapsed="false" customWidth="true" hidden="false" outlineLevel="0" max="11" min="11" style="58" width="16.55"/>
    <col collapsed="false" customWidth="true" hidden="false" outlineLevel="0" max="12" min="12" style="58" width="16.77"/>
    <col collapsed="false" customWidth="true" hidden="false" outlineLevel="0" max="13" min="13" style="58" width="10.33"/>
    <col collapsed="false" customWidth="true" hidden="false" outlineLevel="0" max="14" min="14" style="58" width="3.22"/>
    <col collapsed="false" customWidth="true" hidden="false" outlineLevel="0" max="15" min="15" style="58" width="5.55"/>
    <col collapsed="false" customWidth="true" hidden="false" outlineLevel="0" max="16" min="16" style="58" width="7.22"/>
    <col collapsed="false" customWidth="true" hidden="false" outlineLevel="0" max="17" min="17" style="58" width="5.34"/>
    <col collapsed="false" customWidth="true" hidden="false" outlineLevel="0" max="18" min="18" style="58" width="7.79"/>
    <col collapsed="false" customWidth="true" hidden="false" outlineLevel="0" max="19" min="19" style="58" width="5.55"/>
    <col collapsed="false" customWidth="true" hidden="false" outlineLevel="0" max="20" min="20" style="58" width="6.44"/>
    <col collapsed="false" customWidth="true" hidden="false" outlineLevel="0" max="21" min="21" style="58" width="7.55"/>
    <col collapsed="false" customWidth="true" hidden="false" outlineLevel="0" max="22" min="22" style="58" width="5.34"/>
    <col collapsed="false" customWidth="true" hidden="false" outlineLevel="0" max="23" min="23" style="58" width="5.22"/>
    <col collapsed="false" customWidth="true" hidden="false" outlineLevel="0" max="1025" min="24" style="58" width="8.88"/>
  </cols>
  <sheetData>
    <row r="1" customFormat="false" ht="4.2" hidden="false" customHeight="true" outlineLevel="0" collapsed="false"/>
    <row r="2" customFormat="false" ht="21" hidden="false" customHeight="true" outlineLevel="0" collapsed="false">
      <c r="C2" s="59" t="s">
        <v>519</v>
      </c>
      <c r="D2" s="59"/>
      <c r="E2" s="59"/>
      <c r="F2" s="59"/>
      <c r="G2" s="59"/>
      <c r="H2" s="59"/>
      <c r="I2" s="59"/>
      <c r="J2" s="59"/>
      <c r="K2" s="59"/>
      <c r="L2" s="59"/>
    </row>
    <row r="3" customFormat="false" ht="8.4" hidden="false" customHeight="true" outlineLevel="0" collapsed="false"/>
    <row r="4" customFormat="false" ht="14.4" hidden="true" customHeight="false" outlineLevel="0" collapsed="false">
      <c r="C4" s="58" t="s">
        <v>520</v>
      </c>
      <c r="D4" s="58" t="s">
        <v>521</v>
      </c>
    </row>
    <row r="5" customFormat="false" ht="14.4" hidden="false" customHeight="false" outlineLevel="0" collapsed="false">
      <c r="C5" s="1" t="s">
        <v>522</v>
      </c>
      <c r="D5" s="2" t="s">
        <v>523</v>
      </c>
      <c r="E5" s="2" t="s">
        <v>5</v>
      </c>
      <c r="F5" s="2" t="s">
        <v>8</v>
      </c>
      <c r="H5" s="1" t="s">
        <v>524</v>
      </c>
      <c r="I5" s="58" t="s">
        <v>525</v>
      </c>
      <c r="K5" s="60" t="s">
        <v>7</v>
      </c>
      <c r="L5" s="58" t="s">
        <v>526</v>
      </c>
    </row>
    <row r="6" customFormat="false" ht="14.4" hidden="false" customHeight="false" outlineLevel="0" collapsed="false">
      <c r="C6" s="3" t="s">
        <v>9</v>
      </c>
      <c r="D6" s="4" t="n">
        <v>15</v>
      </c>
      <c r="E6" s="4"/>
      <c r="F6" s="4" t="n">
        <v>15</v>
      </c>
      <c r="H6" s="3" t="s">
        <v>9</v>
      </c>
      <c r="I6" s="6" t="n">
        <v>18052500</v>
      </c>
      <c r="K6" s="3" t="s">
        <v>10</v>
      </c>
      <c r="L6" s="6" t="n">
        <v>4033000</v>
      </c>
    </row>
    <row r="7" customFormat="false" ht="14.4" hidden="false" customHeight="false" outlineLevel="0" collapsed="false">
      <c r="C7" s="3" t="s">
        <v>11</v>
      </c>
      <c r="D7" s="4" t="n">
        <v>14</v>
      </c>
      <c r="E7" s="4"/>
      <c r="F7" s="4" t="n">
        <v>14</v>
      </c>
      <c r="H7" s="3" t="s">
        <v>11</v>
      </c>
      <c r="I7" s="6" t="n">
        <v>14150500</v>
      </c>
      <c r="K7" s="3" t="s">
        <v>12</v>
      </c>
      <c r="L7" s="6" t="n">
        <v>1018000</v>
      </c>
    </row>
    <row r="8" customFormat="false" ht="14.4" hidden="false" customHeight="false" outlineLevel="0" collapsed="false">
      <c r="C8" s="3" t="s">
        <v>13</v>
      </c>
      <c r="D8" s="4" t="n">
        <v>7</v>
      </c>
      <c r="E8" s="4"/>
      <c r="F8" s="4" t="n">
        <v>7</v>
      </c>
      <c r="H8" s="3" t="s">
        <v>13</v>
      </c>
      <c r="I8" s="6" t="n">
        <v>9612000</v>
      </c>
      <c r="K8" s="3" t="s">
        <v>14</v>
      </c>
      <c r="L8" s="6" t="n">
        <v>6138000</v>
      </c>
    </row>
    <row r="9" customFormat="false" ht="14.4" hidden="false" customHeight="false" outlineLevel="0" collapsed="false">
      <c r="C9" s="3" t="s">
        <v>15</v>
      </c>
      <c r="D9" s="4" t="n">
        <v>18</v>
      </c>
      <c r="E9" s="4" t="n">
        <v>1</v>
      </c>
      <c r="F9" s="4" t="n">
        <v>19</v>
      </c>
      <c r="H9" s="3" t="s">
        <v>15</v>
      </c>
      <c r="I9" s="6" t="n">
        <v>20227500</v>
      </c>
      <c r="K9" s="3" t="s">
        <v>16</v>
      </c>
      <c r="L9" s="6" t="n">
        <v>24653500</v>
      </c>
    </row>
    <row r="10" customFormat="false" ht="14.4" hidden="false" customHeight="false" outlineLevel="0" collapsed="false">
      <c r="C10" s="3" t="s">
        <v>17</v>
      </c>
      <c r="D10" s="4" t="n">
        <v>13</v>
      </c>
      <c r="E10" s="4"/>
      <c r="F10" s="4" t="n">
        <v>13</v>
      </c>
      <c r="H10" s="3" t="s">
        <v>17</v>
      </c>
      <c r="I10" s="6" t="n">
        <v>13396500</v>
      </c>
      <c r="K10" s="3" t="s">
        <v>18</v>
      </c>
      <c r="L10" s="6" t="n">
        <v>20571000</v>
      </c>
    </row>
    <row r="11" customFormat="false" ht="14.4" hidden="false" customHeight="false" outlineLevel="0" collapsed="false">
      <c r="C11" s="3" t="s">
        <v>19</v>
      </c>
      <c r="D11" s="4" t="n">
        <v>3</v>
      </c>
      <c r="E11" s="4"/>
      <c r="F11" s="4" t="n">
        <v>3</v>
      </c>
      <c r="H11" s="3" t="s">
        <v>19</v>
      </c>
      <c r="I11" s="6" t="n">
        <v>3103500</v>
      </c>
      <c r="K11" s="3" t="s">
        <v>20</v>
      </c>
      <c r="L11" s="6" t="n">
        <v>2033500</v>
      </c>
    </row>
    <row r="12" customFormat="false" ht="14.4" hidden="false" customHeight="false" outlineLevel="0" collapsed="false">
      <c r="C12" s="3" t="s">
        <v>21</v>
      </c>
      <c r="D12" s="4" t="n">
        <v>16</v>
      </c>
      <c r="E12" s="4"/>
      <c r="F12" s="4" t="n">
        <v>16</v>
      </c>
      <c r="H12" s="3" t="s">
        <v>21</v>
      </c>
      <c r="I12" s="6" t="n">
        <v>16628000</v>
      </c>
      <c r="K12" s="3" t="s">
        <v>22</v>
      </c>
      <c r="L12" s="6" t="n">
        <v>9122500</v>
      </c>
    </row>
    <row r="13" customFormat="false" ht="14.4" hidden="false" customHeight="false" outlineLevel="0" collapsed="false">
      <c r="C13" s="3" t="s">
        <v>8</v>
      </c>
      <c r="D13" s="4" t="n">
        <v>86</v>
      </c>
      <c r="E13" s="4" t="n">
        <v>1</v>
      </c>
      <c r="F13" s="4" t="n">
        <v>87</v>
      </c>
      <c r="H13" s="3" t="s">
        <v>8</v>
      </c>
      <c r="I13" s="6" t="n">
        <v>95170500</v>
      </c>
      <c r="K13" s="3" t="s">
        <v>23</v>
      </c>
      <c r="L13" s="6" t="n">
        <v>7171500</v>
      </c>
    </row>
    <row r="14" customFormat="false" ht="14.4" hidden="false" customHeight="false" outlineLevel="0" collapsed="false">
      <c r="K14" s="3" t="s">
        <v>24</v>
      </c>
      <c r="L14" s="6" t="n">
        <v>8136000</v>
      </c>
    </row>
    <row r="15" customFormat="false" ht="14.4" hidden="false" customHeight="false" outlineLevel="0" collapsed="false">
      <c r="K15" s="3" t="s">
        <v>25</v>
      </c>
      <c r="L15" s="6" t="n">
        <v>9279500</v>
      </c>
    </row>
    <row r="16" customFormat="false" ht="14.4" hidden="false" customHeight="false" outlineLevel="0" collapsed="false">
      <c r="K16" s="3" t="s">
        <v>26</v>
      </c>
      <c r="L16" s="6" t="n">
        <v>1014000</v>
      </c>
    </row>
    <row r="17" customFormat="false" ht="15" hidden="false" customHeight="false" outlineLevel="0" collapsed="false">
      <c r="K17" s="3" t="s">
        <v>27</v>
      </c>
      <c r="L17" s="6" t="n">
        <v>2000000</v>
      </c>
    </row>
    <row r="18" customFormat="false" ht="14.4" hidden="false" customHeight="false" outlineLevel="0" collapsed="false">
      <c r="K18" s="3" t="s">
        <v>8</v>
      </c>
      <c r="L18" s="6" t="n">
        <v>95170500</v>
      </c>
    </row>
    <row r="19" customFormat="false" ht="15" hidden="false" customHeight="false" outlineLevel="0" collapsed="false"/>
  </sheetData>
  <mergeCells count="1">
    <mergeCell ref="C2:L2"/>
  </mergeCells>
  <conditionalFormatting sqref="D6:D12">
    <cfRule type="iconSet" priority="2">
      <iconSet iconSet="4Rating">
        <cfvo type="percent" val="0"/>
        <cfvo type="percent" val="25"/>
        <cfvo type="percent" val="50"/>
        <cfvo type="percent" val="75"/>
      </iconSet>
    </cfRule>
  </conditionalFormatting>
  <conditionalFormatting sqref="I6:I12">
    <cfRule type="dataBar" priority="3">
      <dataBar showValue="1" minLength="10" maxLength="90">
        <cfvo type="min" val="0"/>
        <cfvo type="max" val="0"/>
        <color rgb="FF008AEF"/>
      </dataBar>
      <extLst>
        <ext xmlns:x14="http://schemas.microsoft.com/office/spreadsheetml/2009/9/main" uri="{B025F937-C7B1-47D3-B67F-A62EFF666E3E}">
          <x14:id>{AA31A583-9571-4D10-9C20-B06D8C1EDCCC}</x14:id>
        </ext>
      </extLst>
    </cfRule>
  </conditionalFormatting>
  <conditionalFormatting sqref="L6:L16">
    <cfRule type="dataBar" priority="4">
      <dataBar showValue="1" minLength="10" maxLength="90">
        <cfvo type="min" val="0"/>
        <cfvo type="max" val="0"/>
        <color rgb="FF008AEF"/>
      </dataBar>
      <extLst>
        <ext xmlns:x14="http://schemas.microsoft.com/office/spreadsheetml/2009/9/main" uri="{B025F937-C7B1-47D3-B67F-A62EFF666E3E}">
          <x14:id>{ED2FBDDB-5AE4-4DA2-865B-109434FAFD96}</x14:id>
        </ext>
      </extLst>
    </cfRule>
  </conditionalFormatting>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dataBar" id="{AA31A583-9571-4D10-9C20-B06D8C1EDCCC}">
            <x14:dataBar minLength="10" maxLength="90" axisPosition="automatic" gradient="true">
              <x14:cfvo type="autoMin"/>
              <x14:cfvo type="autoMax"/>
              <x14:negativeFillColor rgb="FFFF0000"/>
              <x14:axisColor rgb="FF000000"/>
            </x14:dataBar>
          </x14:cfRule>
          <xm:sqref>I6:I12</xm:sqref>
        </x14:conditionalFormatting>
        <x14:conditionalFormatting xmlns:xm="http://schemas.microsoft.com/office/excel/2006/main">
          <x14:cfRule type="dataBar" id="{ED2FBDDB-5AE4-4DA2-865B-109434FAFD96}">
            <x14:dataBar minLength="10" maxLength="90" axisPosition="automatic" gradient="true">
              <x14:cfvo type="autoMin"/>
              <x14:cfvo type="autoMax"/>
              <x14:negativeFillColor rgb="FFFF0000"/>
              <x14:axisColor rgb="FF000000"/>
            </x14:dataBar>
          </x14:cfRule>
          <xm:sqref>L6:L16</xm:sqref>
        </x14:conditionalFormatting>
      </x14:conditionalFormattings>
    </ext>
  </extLst>
</worksheet>
</file>

<file path=xl/worksheets/sheet11.xml><?xml version="1.0" encoding="utf-8"?>
<worksheet xmlns="http://schemas.openxmlformats.org/spreadsheetml/2006/main" xmlns:r="http://schemas.openxmlformats.org/officeDocument/2006/relationships">
  <sheetPr filterMode="false">
    <pageSetUpPr fitToPage="false"/>
  </sheetPr>
  <dimension ref="H3:P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4" zeroHeight="false" outlineLevelRow="0" outlineLevelCol="0"/>
  <cols>
    <col collapsed="false" customWidth="true" hidden="false" outlineLevel="0" max="1025" min="1" style="0" width="8.53"/>
  </cols>
  <sheetData>
    <row r="3" customFormat="false" ht="21" hidden="false" customHeight="false" outlineLevel="0" collapsed="false">
      <c r="H3" s="61" t="s">
        <v>527</v>
      </c>
      <c r="I3" s="61"/>
      <c r="J3" s="61"/>
      <c r="K3" s="61"/>
      <c r="L3" s="61"/>
      <c r="M3" s="61"/>
      <c r="N3" s="61"/>
      <c r="O3" s="61"/>
      <c r="P3" s="61"/>
    </row>
  </sheetData>
  <sheetProtection sheet="true" objects="true" scenarios="true"/>
  <mergeCells count="1">
    <mergeCell ref="H3:P3"/>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842</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2020-01-16T14:23:13Z</dcterms:created>
  <dc:creator>UNEPI-PNO</dc:creator>
  <dc:description/>
  <dc:language>en-US</dc:language>
  <cp:lastModifiedBy/>
  <cp:lastPrinted>2020-01-29T08:27:57Z</cp:lastPrinted>
  <dcterms:modified xsi:type="dcterms:W3CDTF">2020-06-11T20:33:39Z</dcterms:modified>
  <cp:revision>11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